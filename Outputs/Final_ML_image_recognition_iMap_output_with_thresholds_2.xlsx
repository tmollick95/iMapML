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S.L.</t>
        </is>
      </c>
      <c r="B1" t="inlineStr">
        <is>
          <t>imaplink</t>
        </is>
      </c>
      <c r="C1" t="inlineStr">
        <is>
          <t>imaplink_raw</t>
        </is>
      </c>
      <c r="D1" t="inlineStr">
        <is>
          <t>presenceId</t>
        </is>
      </c>
      <c r="E1" t="inlineStr">
        <is>
          <t>presentSpeciesId</t>
        </is>
      </c>
      <c r="F1" t="inlineStr">
        <is>
          <t>iMapPhoto</t>
        </is>
      </c>
      <c r="G1" t="inlineStr">
        <is>
          <t>iMapPhoto_raw</t>
        </is>
      </c>
      <c r="H1" t="inlineStr">
        <is>
          <t>imap_sci</t>
        </is>
      </c>
      <c r="I1" t="inlineStr">
        <is>
          <t>imap_com</t>
        </is>
      </c>
      <c r="J1" t="inlineStr">
        <is>
          <t>imap_record_taxon</t>
        </is>
      </c>
      <c r="K1" t="inlineStr">
        <is>
          <t>inatlink</t>
        </is>
      </c>
      <c r="L1" t="inlineStr">
        <is>
          <t>inatlink_raw</t>
        </is>
      </c>
      <c r="M1" t="inlineStr">
        <is>
          <t>inat_sci</t>
        </is>
      </c>
      <c r="N1" t="inlineStr">
        <is>
          <t>inat_com</t>
        </is>
      </c>
      <c r="O1" t="inlineStr">
        <is>
          <t>inat_taxon</t>
        </is>
      </c>
      <c r="P1" t="inlineStr">
        <is>
          <t>geo_score</t>
        </is>
      </c>
      <c r="Q1" t="inlineStr">
        <is>
          <t>com_score</t>
        </is>
      </c>
      <c r="R1" t="inlineStr">
        <is>
          <t>species_label</t>
        </is>
      </c>
      <c r="S1" t="inlineStr">
        <is>
          <t>com_status</t>
        </is>
      </c>
      <c r="T1" t="inlineStr">
        <is>
          <t>NYS_Tier</t>
        </is>
      </c>
      <c r="U1" t="inlineStr">
        <is>
          <t>Species_selected_threshold</t>
        </is>
      </c>
      <c r="V1" t="inlineStr">
        <is>
          <t>Geo_score_mean</t>
        </is>
      </c>
      <c r="W1" t="inlineStr">
        <is>
          <t>Com_score_above_or_below</t>
        </is>
      </c>
      <c r="X1" t="inlineStr">
        <is>
          <t>Geo_score_above_or_below</t>
        </is>
      </c>
      <c r="Y1" t="inlineStr">
        <is>
          <t>Recommended_status</t>
        </is>
      </c>
    </row>
    <row r="2">
      <c r="A2" t="n">
        <v>1</v>
      </c>
      <c r="B2">
        <f>HYPERLINK("https://imapinvasives.natureserve.org/imap/services/page/Presence/1505156.html", "View")</f>
        <v/>
      </c>
      <c r="C2" t="inlineStr">
        <is>
          <t>https://imapinvasives.natureserve.org/imap/services/page/Presence/1505156.html</t>
        </is>
      </c>
      <c r="D2" t="n">
        <v>1505156</v>
      </c>
      <c r="E2" t="n">
        <v>1523947</v>
      </c>
      <c r="F2">
        <f>HYPERLINK("http://imap3images.s3-website-us-east-1.amazonaws.com/1523947/p/1000011389.jpg", "View")</f>
        <v/>
      </c>
      <c r="G2" t="inlineStr">
        <is>
          <t>http://imap3images.s3-website-us-east-1.amazonaws.com/1523947/p/1000011389.jpg</t>
        </is>
      </c>
      <c r="H2" t="inlineStr">
        <is>
          <t>Alliaria petiolata</t>
        </is>
      </c>
      <c r="I2" t="inlineStr">
        <is>
          <t>Garlic Mustard</t>
        </is>
      </c>
      <c r="J2" t="inlineStr">
        <is>
          <t>56061</t>
        </is>
      </c>
      <c r="K2">
        <f>HYPERLINK("https://www.inaturalist.org/taxa/56061-Alliaria-petiolata", "View")</f>
        <v/>
      </c>
      <c r="L2" t="inlineStr">
        <is>
          <t>https://www.inaturalist.org/taxa/56061-Alliaria-petiolata</t>
        </is>
      </c>
      <c r="M2" t="inlineStr">
        <is>
          <t>Alliaria petiolata</t>
        </is>
      </c>
      <c r="N2" t="inlineStr">
        <is>
          <t>Garlic mustard</t>
        </is>
      </c>
      <c r="O2" t="inlineStr">
        <is>
          <t>56061</t>
        </is>
      </c>
      <c r="P2" t="n">
        <v>32.07</v>
      </c>
      <c r="Q2" t="n">
        <v>5.85</v>
      </c>
      <c r="R2" t="n">
        <v>1</v>
      </c>
      <c r="S2" t="inlineStr">
        <is>
          <t>Match</t>
        </is>
      </c>
      <c r="T2" t="inlineStr">
        <is>
          <t>4</t>
        </is>
      </c>
      <c r="U2" t="n">
        <v>88.91</v>
      </c>
      <c r="V2" t="n">
        <v>39.89</v>
      </c>
      <c r="W2" t="inlineStr">
        <is>
          <t>Below</t>
        </is>
      </c>
      <c r="X2" t="inlineStr">
        <is>
          <t>Below</t>
        </is>
      </c>
      <c r="Y2" t="inlineStr">
        <is>
          <t>Manual review</t>
        </is>
      </c>
    </row>
    <row r="3">
      <c r="A3" t="n">
        <v>2</v>
      </c>
      <c r="B3">
        <f>HYPERLINK("https://imapinvasives.natureserve.org/imap/services/page/Presence/1501440.html", "View")</f>
        <v/>
      </c>
      <c r="C3" t="inlineStr">
        <is>
          <t>https://imapinvasives.natureserve.org/imap/services/page/Presence/1501440.html</t>
        </is>
      </c>
      <c r="D3" t="n">
        <v>1501440</v>
      </c>
      <c r="E3" t="n">
        <v>1520103</v>
      </c>
      <c r="F3">
        <f>HYPERLINK("http://imap3images.s3-website-us-east-1.amazonaws.com/1520103/p/imap_app_photo_1751019389614.jpg", "View")</f>
        <v/>
      </c>
      <c r="G3" t="inlineStr">
        <is>
          <t>http://imap3images.s3-website-us-east-1.amazonaws.com/1520103/p/imap_app_photo_1751019389614.jpg</t>
        </is>
      </c>
      <c r="H3" t="inlineStr">
        <is>
          <t>Alliaria petiolata</t>
        </is>
      </c>
      <c r="I3" t="inlineStr">
        <is>
          <t>Garlic Mustard</t>
        </is>
      </c>
      <c r="J3" t="inlineStr">
        <is>
          <t>56061</t>
        </is>
      </c>
      <c r="K3">
        <f>HYPERLINK("https://www.inaturalist.org/taxa/56061-Alliaria-petiolata", "View")</f>
        <v/>
      </c>
      <c r="L3" t="inlineStr">
        <is>
          <t>https://www.inaturalist.org/taxa/56061-Alliaria-petiolata</t>
        </is>
      </c>
      <c r="M3" t="inlineStr">
        <is>
          <t>Alliaria petiolata</t>
        </is>
      </c>
      <c r="N3" t="inlineStr">
        <is>
          <t>Garlic mustard</t>
        </is>
      </c>
      <c r="O3" t="inlineStr">
        <is>
          <t>56061</t>
        </is>
      </c>
      <c r="P3" t="n">
        <v>31.68</v>
      </c>
      <c r="Q3" t="n">
        <v>76.84999999999999</v>
      </c>
      <c r="R3" t="n">
        <v>1</v>
      </c>
      <c r="S3" t="inlineStr">
        <is>
          <t>Match</t>
        </is>
      </c>
      <c r="T3" t="inlineStr">
        <is>
          <t>4</t>
        </is>
      </c>
      <c r="U3" t="n">
        <v>88.91</v>
      </c>
      <c r="V3" t="n">
        <v>39.89</v>
      </c>
      <c r="W3" t="inlineStr">
        <is>
          <t>Below</t>
        </is>
      </c>
      <c r="X3" t="inlineStr">
        <is>
          <t>Below</t>
        </is>
      </c>
      <c r="Y3" t="inlineStr">
        <is>
          <t>Manual review</t>
        </is>
      </c>
    </row>
    <row r="4">
      <c r="A4" t="n">
        <v>3</v>
      </c>
      <c r="B4">
        <f>HYPERLINK("https://imapinvasives.natureserve.org/imap/services/page/Presence/1500885.html", "View")</f>
        <v/>
      </c>
      <c r="C4" t="inlineStr">
        <is>
          <t>https://imapinvasives.natureserve.org/imap/services/page/Presence/1500885.html</t>
        </is>
      </c>
      <c r="D4" t="n">
        <v>1500885</v>
      </c>
      <c r="E4" t="n">
        <v>1519545</v>
      </c>
      <c r="F4">
        <f>HYPERLINK("http://imap3images.s3-website-us-east-1.amazonaws.com/1519545/p/imap_app_photo_1750945511253.jpg", "View")</f>
        <v/>
      </c>
      <c r="G4" t="inlineStr">
        <is>
          <t>http://imap3images.s3-website-us-east-1.amazonaws.com/1519545/p/imap_app_photo_1750945511253.jpg</t>
        </is>
      </c>
      <c r="H4" t="inlineStr">
        <is>
          <t>Alliaria petiolata</t>
        </is>
      </c>
      <c r="I4" t="inlineStr">
        <is>
          <t>Garlic Mustard</t>
        </is>
      </c>
      <c r="J4" t="inlineStr">
        <is>
          <t>56061</t>
        </is>
      </c>
      <c r="K4">
        <f>HYPERLINK("https://www.inaturalist.org/taxa/56061-Alliaria-petiolata", "View")</f>
        <v/>
      </c>
      <c r="L4" t="inlineStr">
        <is>
          <t>https://www.inaturalist.org/taxa/56061-Alliaria-petiolata</t>
        </is>
      </c>
      <c r="M4" t="inlineStr">
        <is>
          <t>Alliaria petiolata</t>
        </is>
      </c>
      <c r="N4" t="inlineStr">
        <is>
          <t>Garlic mustard</t>
        </is>
      </c>
      <c r="O4" t="inlineStr">
        <is>
          <t>56061</t>
        </is>
      </c>
      <c r="P4" t="n">
        <v>32.91</v>
      </c>
      <c r="Q4" t="n">
        <v>25.2</v>
      </c>
      <c r="R4" t="n">
        <v>1</v>
      </c>
      <c r="S4" t="inlineStr">
        <is>
          <t>Match</t>
        </is>
      </c>
      <c r="T4" t="inlineStr">
        <is>
          <t>4</t>
        </is>
      </c>
      <c r="U4" t="n">
        <v>88.91</v>
      </c>
      <c r="V4" t="n">
        <v>39.89</v>
      </c>
      <c r="W4" t="inlineStr">
        <is>
          <t>Below</t>
        </is>
      </c>
      <c r="X4" t="inlineStr">
        <is>
          <t>Below</t>
        </is>
      </c>
      <c r="Y4" t="inlineStr">
        <is>
          <t>Manual review</t>
        </is>
      </c>
    </row>
    <row r="5">
      <c r="A5" t="n">
        <v>4</v>
      </c>
      <c r="B5">
        <f>HYPERLINK("https://imapinvasives.natureserve.org/imap/services/page/Presence/1500257.html", "View")</f>
        <v/>
      </c>
      <c r="C5" t="inlineStr">
        <is>
          <t>https://imapinvasives.natureserve.org/imap/services/page/Presence/1500257.html</t>
        </is>
      </c>
      <c r="D5" t="n">
        <v>1500257</v>
      </c>
      <c r="E5" t="n">
        <v>1518703</v>
      </c>
      <c r="F5">
        <f>HYPERLINK("http://imap3images.s3-website-us-east-1.amazonaws.com/1518703/p/IMG_5385.jpeg", "View")</f>
        <v/>
      </c>
      <c r="G5" t="inlineStr">
        <is>
          <t>http://imap3images.s3-website-us-east-1.amazonaws.com/1518703/p/IMG_5385.jpeg</t>
        </is>
      </c>
      <c r="H5" t="inlineStr">
        <is>
          <t>Alliaria petiolata</t>
        </is>
      </c>
      <c r="I5" t="inlineStr">
        <is>
          <t>Garlic Mustard</t>
        </is>
      </c>
      <c r="J5" t="inlineStr">
        <is>
          <t>56061</t>
        </is>
      </c>
      <c r="K5">
        <f>HYPERLINK("https://www.inaturalist.org/taxa/56061-Alliaria-petiolata", "View")</f>
        <v/>
      </c>
      <c r="L5" t="inlineStr">
        <is>
          <t>https://www.inaturalist.org/taxa/56061-Alliaria-petiolata</t>
        </is>
      </c>
      <c r="M5" t="inlineStr">
        <is>
          <t>Alliaria petiolata</t>
        </is>
      </c>
      <c r="N5" t="inlineStr">
        <is>
          <t>Garlic mustard</t>
        </is>
      </c>
      <c r="O5" t="inlineStr">
        <is>
          <t>56061</t>
        </is>
      </c>
      <c r="P5" t="n">
        <v>29.87</v>
      </c>
      <c r="Q5" t="n">
        <v>45.75</v>
      </c>
      <c r="R5" t="n">
        <v>1</v>
      </c>
      <c r="S5" t="inlineStr">
        <is>
          <t>Match</t>
        </is>
      </c>
      <c r="T5" t="inlineStr">
        <is>
          <t>4</t>
        </is>
      </c>
      <c r="U5" t="n">
        <v>88.91</v>
      </c>
      <c r="V5" t="n">
        <v>39.89</v>
      </c>
      <c r="W5" t="inlineStr">
        <is>
          <t>Below</t>
        </is>
      </c>
      <c r="X5" t="inlineStr">
        <is>
          <t>Below</t>
        </is>
      </c>
      <c r="Y5" t="inlineStr">
        <is>
          <t>Manual review</t>
        </is>
      </c>
    </row>
    <row r="6">
      <c r="A6" t="n">
        <v>5</v>
      </c>
      <c r="B6">
        <f>HYPERLINK("https://imapinvasives.natureserve.org/imap/services/page/Presence/1499856.html", "View")</f>
        <v/>
      </c>
      <c r="C6" t="inlineStr">
        <is>
          <t>https://imapinvasives.natureserve.org/imap/services/page/Presence/1499856.html</t>
        </is>
      </c>
      <c r="D6" t="n">
        <v>1499856</v>
      </c>
      <c r="E6" t="n">
        <v>1518108</v>
      </c>
      <c r="F6">
        <f>HYPERLINK("http://imap3images.s3-website-us-east-1.amazonaws.com/1518108/p/imap_app_photo_1750098656237.jpg", "View")</f>
        <v/>
      </c>
      <c r="G6" t="inlineStr">
        <is>
          <t>http://imap3images.s3-website-us-east-1.amazonaws.com/1518108/p/imap_app_photo_1750098656237.jpg</t>
        </is>
      </c>
      <c r="H6" t="inlineStr">
        <is>
          <t>Alliaria petiolata</t>
        </is>
      </c>
      <c r="I6" t="inlineStr">
        <is>
          <t>Garlic Mustard</t>
        </is>
      </c>
      <c r="J6" t="inlineStr">
        <is>
          <t>56061</t>
        </is>
      </c>
      <c r="K6">
        <f>HYPERLINK("https://www.inaturalist.org/taxa/56061-Alliaria-petiolata", "View")</f>
        <v/>
      </c>
      <c r="L6" t="inlineStr">
        <is>
          <t>https://www.inaturalist.org/taxa/56061-Alliaria-petiolata</t>
        </is>
      </c>
      <c r="M6" t="inlineStr">
        <is>
          <t>Alliaria petiolata</t>
        </is>
      </c>
      <c r="N6" t="inlineStr">
        <is>
          <t>Garlic mustard</t>
        </is>
      </c>
      <c r="O6" t="inlineStr">
        <is>
          <t>56061</t>
        </is>
      </c>
      <c r="P6" t="n">
        <v>32.91</v>
      </c>
      <c r="Q6" t="n">
        <v>73.52</v>
      </c>
      <c r="R6" t="n">
        <v>1</v>
      </c>
      <c r="S6" t="inlineStr">
        <is>
          <t>Match</t>
        </is>
      </c>
      <c r="T6" t="inlineStr">
        <is>
          <t>4</t>
        </is>
      </c>
      <c r="U6" t="n">
        <v>88.91</v>
      </c>
      <c r="V6" t="n">
        <v>39.89</v>
      </c>
      <c r="W6" t="inlineStr">
        <is>
          <t>Below</t>
        </is>
      </c>
      <c r="X6" t="inlineStr">
        <is>
          <t>Below</t>
        </is>
      </c>
      <c r="Y6" t="inlineStr">
        <is>
          <t>Manual review</t>
        </is>
      </c>
    </row>
    <row r="7">
      <c r="A7" t="n">
        <v>6</v>
      </c>
      <c r="B7">
        <f>HYPERLINK("https://imapinvasives.natureserve.org/imap/services/page/Presence/1499668.html", "View")</f>
        <v/>
      </c>
      <c r="C7" t="inlineStr">
        <is>
          <t>https://imapinvasives.natureserve.org/imap/services/page/Presence/1499668.html</t>
        </is>
      </c>
      <c r="D7" t="n">
        <v>1499668</v>
      </c>
      <c r="E7" t="n">
        <v>1517825</v>
      </c>
      <c r="F7">
        <f>HYPERLINK("http://imap3images.s3-website-us-east-1.amazonaws.com/1517825/p/imap_app_photo_1749908208607.jpg", "View")</f>
        <v/>
      </c>
      <c r="G7" t="inlineStr">
        <is>
          <t>http://imap3images.s3-website-us-east-1.amazonaws.com/1517825/p/imap_app_photo_1749908208607.jpg</t>
        </is>
      </c>
      <c r="H7" t="inlineStr">
        <is>
          <t>Alliaria petiolata</t>
        </is>
      </c>
      <c r="I7" t="inlineStr">
        <is>
          <t>Garlic Mustard</t>
        </is>
      </c>
      <c r="J7" t="inlineStr">
        <is>
          <t>56061</t>
        </is>
      </c>
      <c r="K7">
        <f>HYPERLINK("https://www.inaturalist.org/taxa/54822-Crataegus-succulenta", "View")</f>
        <v/>
      </c>
      <c r="L7" t="inlineStr">
        <is>
          <t>https://www.inaturalist.org/taxa/54822-Crataegus-succulenta</t>
        </is>
      </c>
      <c r="M7" t="inlineStr">
        <is>
          <t>Crataegus succulenta</t>
        </is>
      </c>
      <c r="N7" t="inlineStr">
        <is>
          <t>Fleshy hawthorn</t>
        </is>
      </c>
      <c r="O7" t="inlineStr">
        <is>
          <t>54822</t>
        </is>
      </c>
      <c r="P7" t="n">
        <v>5.74</v>
      </c>
      <c r="Q7" t="n">
        <v>11.45</v>
      </c>
      <c r="R7" t="n">
        <v>0</v>
      </c>
      <c r="S7" t="inlineStr">
        <is>
          <t>Unmatch</t>
        </is>
      </c>
      <c r="T7" t="inlineStr">
        <is>
          <t>4</t>
        </is>
      </c>
      <c r="U7" t="n">
        <v>88.91</v>
      </c>
      <c r="V7" t="n">
        <v>39.89</v>
      </c>
      <c r="W7" t="inlineStr">
        <is>
          <t>Below</t>
        </is>
      </c>
      <c r="X7" t="inlineStr">
        <is>
          <t>Below</t>
        </is>
      </c>
      <c r="Y7" t="inlineStr">
        <is>
          <t>Manual review</t>
        </is>
      </c>
    </row>
    <row r="8">
      <c r="A8" t="n">
        <v>7</v>
      </c>
      <c r="B8">
        <f>HYPERLINK("https://imapinvasives.natureserve.org/imap/services/page/Presence/1499252.html", "View")</f>
        <v/>
      </c>
      <c r="C8" t="inlineStr">
        <is>
          <t>https://imapinvasives.natureserve.org/imap/services/page/Presence/1499252.html</t>
        </is>
      </c>
      <c r="D8" t="n">
        <v>1499252</v>
      </c>
      <c r="E8" t="n">
        <v>1517377</v>
      </c>
      <c r="F8">
        <f>HYPERLINK("http://imap3images.s3-website-us-east-1.amazonaws.com/1517377/p/imap_app_photo_1749645214329.jpg", "View")</f>
        <v/>
      </c>
      <c r="G8" t="inlineStr">
        <is>
          <t>http://imap3images.s3-website-us-east-1.amazonaws.com/1517377/p/imap_app_photo_1749645214329.jpg</t>
        </is>
      </c>
      <c r="H8" t="inlineStr">
        <is>
          <t>Alliaria petiolata</t>
        </is>
      </c>
      <c r="I8" t="inlineStr">
        <is>
          <t>Garlic Mustard</t>
        </is>
      </c>
      <c r="J8" t="inlineStr">
        <is>
          <t>56061</t>
        </is>
      </c>
      <c r="K8">
        <f>HYPERLINK("https://www.inaturalist.org/taxa/56061-Alliaria-petiolata", "View")</f>
        <v/>
      </c>
      <c r="L8" t="inlineStr">
        <is>
          <t>https://www.inaturalist.org/taxa/56061-Alliaria-petiolata</t>
        </is>
      </c>
      <c r="M8" t="inlineStr">
        <is>
          <t>Alliaria petiolata</t>
        </is>
      </c>
      <c r="N8" t="inlineStr">
        <is>
          <t>Garlic mustard</t>
        </is>
      </c>
      <c r="O8" t="inlineStr">
        <is>
          <t>56061</t>
        </is>
      </c>
      <c r="P8" t="n">
        <v>32.91</v>
      </c>
      <c r="Q8" t="n">
        <v>1.95</v>
      </c>
      <c r="R8" t="n">
        <v>1</v>
      </c>
      <c r="S8" t="inlineStr">
        <is>
          <t>Match</t>
        </is>
      </c>
      <c r="T8" t="inlineStr">
        <is>
          <t>4</t>
        </is>
      </c>
      <c r="U8" t="n">
        <v>88.91</v>
      </c>
      <c r="V8" t="n">
        <v>39.89</v>
      </c>
      <c r="W8" t="inlineStr">
        <is>
          <t>Below</t>
        </is>
      </c>
      <c r="X8" t="inlineStr">
        <is>
          <t>Below</t>
        </is>
      </c>
      <c r="Y8" t="inlineStr">
        <is>
          <t>Manual review</t>
        </is>
      </c>
    </row>
    <row r="9">
      <c r="A9" t="n">
        <v>8</v>
      </c>
      <c r="B9">
        <f>HYPERLINK("https://imapinvasives.natureserve.org/imap/services/page/Presence/1499247.html", "View")</f>
        <v/>
      </c>
      <c r="C9" t="inlineStr">
        <is>
          <t>https://imapinvasives.natureserve.org/imap/services/page/Presence/1499247.html</t>
        </is>
      </c>
      <c r="D9" t="n">
        <v>1499247</v>
      </c>
      <c r="E9" t="n">
        <v>1517372</v>
      </c>
      <c r="F9">
        <f>HYPERLINK("http://imap3images.s3-website-us-east-1.amazonaws.com/1517372/p/imap_app_photo_1749645199709.jpg", "View")</f>
        <v/>
      </c>
      <c r="G9" t="inlineStr">
        <is>
          <t>http://imap3images.s3-website-us-east-1.amazonaws.com/1517372/p/imap_app_photo_1749645199709.jpg</t>
        </is>
      </c>
      <c r="H9" t="inlineStr">
        <is>
          <t>Alliaria petiolata</t>
        </is>
      </c>
      <c r="I9" t="inlineStr">
        <is>
          <t>Garlic Mustard</t>
        </is>
      </c>
      <c r="J9" t="inlineStr">
        <is>
          <t>56061</t>
        </is>
      </c>
      <c r="K9">
        <f>HYPERLINK("https://www.inaturalist.org/taxa/56061-Alliaria-petiolata", "View")</f>
        <v/>
      </c>
      <c r="L9" t="inlineStr">
        <is>
          <t>https://www.inaturalist.org/taxa/56061-Alliaria-petiolata</t>
        </is>
      </c>
      <c r="M9" t="inlineStr">
        <is>
          <t>Alliaria petiolata</t>
        </is>
      </c>
      <c r="N9" t="inlineStr">
        <is>
          <t>Garlic mustard</t>
        </is>
      </c>
      <c r="O9" t="inlineStr">
        <is>
          <t>56061</t>
        </is>
      </c>
      <c r="P9" t="n">
        <v>32.91</v>
      </c>
      <c r="Q9" t="n">
        <v>33.65</v>
      </c>
      <c r="R9" t="n">
        <v>1</v>
      </c>
      <c r="S9" t="inlineStr">
        <is>
          <t>Match</t>
        </is>
      </c>
      <c r="T9" t="inlineStr">
        <is>
          <t>4</t>
        </is>
      </c>
      <c r="U9" t="n">
        <v>88.91</v>
      </c>
      <c r="V9" t="n">
        <v>39.89</v>
      </c>
      <c r="W9" t="inlineStr">
        <is>
          <t>Below</t>
        </is>
      </c>
      <c r="X9" t="inlineStr">
        <is>
          <t>Below</t>
        </is>
      </c>
      <c r="Y9" t="inlineStr">
        <is>
          <t>Manual review</t>
        </is>
      </c>
    </row>
    <row r="10">
      <c r="A10" t="n">
        <v>9</v>
      </c>
      <c r="B10">
        <f>HYPERLINK("https://imapinvasives.natureserve.org/imap/services/page/Presence/1499244.html", "View")</f>
        <v/>
      </c>
      <c r="C10" t="inlineStr">
        <is>
          <t>https://imapinvasives.natureserve.org/imap/services/page/Presence/1499244.html</t>
        </is>
      </c>
      <c r="D10" t="n">
        <v>1499244</v>
      </c>
      <c r="E10" t="n">
        <v>1517369</v>
      </c>
      <c r="F10">
        <f>HYPERLINK("http://imap3images.s3-website-us-east-1.amazonaws.com/1517369/p/imap_app_photo_1749645190447.jpg", "View")</f>
        <v/>
      </c>
      <c r="G10" t="inlineStr">
        <is>
          <t>http://imap3images.s3-website-us-east-1.amazonaws.com/1517369/p/imap_app_photo_1749645190447.jpg</t>
        </is>
      </c>
      <c r="H10" t="inlineStr">
        <is>
          <t>Alliaria petiolata</t>
        </is>
      </c>
      <c r="I10" t="inlineStr">
        <is>
          <t>Garlic Mustard</t>
        </is>
      </c>
      <c r="J10" t="inlineStr">
        <is>
          <t>56061</t>
        </is>
      </c>
      <c r="K10">
        <f>HYPERLINK("https://www.inaturalist.org/taxa/56061-Alliaria-petiolata", "View")</f>
        <v/>
      </c>
      <c r="L10" t="inlineStr">
        <is>
          <t>https://www.inaturalist.org/taxa/56061-Alliaria-petiolata</t>
        </is>
      </c>
      <c r="M10" t="inlineStr">
        <is>
          <t>Alliaria petiolata</t>
        </is>
      </c>
      <c r="N10" t="inlineStr">
        <is>
          <t>Garlic mustard</t>
        </is>
      </c>
      <c r="O10" t="inlineStr">
        <is>
          <t>56061</t>
        </is>
      </c>
      <c r="P10" t="n">
        <v>32.91</v>
      </c>
      <c r="Q10" t="n">
        <v>11</v>
      </c>
      <c r="R10" t="n">
        <v>1</v>
      </c>
      <c r="S10" t="inlineStr">
        <is>
          <t>Match</t>
        </is>
      </c>
      <c r="T10" t="inlineStr">
        <is>
          <t>4</t>
        </is>
      </c>
      <c r="U10" t="n">
        <v>88.91</v>
      </c>
      <c r="V10" t="n">
        <v>39.89</v>
      </c>
      <c r="W10" t="inlineStr">
        <is>
          <t>Below</t>
        </is>
      </c>
      <c r="X10" t="inlineStr">
        <is>
          <t>Below</t>
        </is>
      </c>
      <c r="Y10" t="inlineStr">
        <is>
          <t>Manual review</t>
        </is>
      </c>
    </row>
    <row r="11">
      <c r="A11" t="n">
        <v>10</v>
      </c>
      <c r="B11">
        <f>HYPERLINK("https://imapinvasives.natureserve.org/imap/services/page/Presence/1498107.html", "View")</f>
        <v/>
      </c>
      <c r="C11" t="inlineStr">
        <is>
          <t>https://imapinvasives.natureserve.org/imap/services/page/Presence/1498107.html</t>
        </is>
      </c>
      <c r="D11" t="n">
        <v>1498107</v>
      </c>
      <c r="E11" t="n">
        <v>1516048</v>
      </c>
      <c r="F11">
        <f>HYPERLINK("http://imap3images.s3-website-us-east-1.amazonaws.com/1516048/p/59_Washington_St.jpeg", "View")</f>
        <v/>
      </c>
      <c r="G11" t="inlineStr">
        <is>
          <t>http://imap3images.s3-website-us-east-1.amazonaws.com/1516048/p/59_Washington_St.jpeg</t>
        </is>
      </c>
      <c r="H11" t="inlineStr">
        <is>
          <t>Alliaria petiolata</t>
        </is>
      </c>
      <c r="I11" t="inlineStr">
        <is>
          <t>Garlic Mustard</t>
        </is>
      </c>
      <c r="J11" t="inlineStr">
        <is>
          <t>56061</t>
        </is>
      </c>
      <c r="K11">
        <f>HYPERLINK("https://www.inaturalist.org/taxa/53547-Ulmus-americana", "View")</f>
        <v/>
      </c>
      <c r="L11" t="inlineStr">
        <is>
          <t>https://www.inaturalist.org/taxa/53547-Ulmus-americana</t>
        </is>
      </c>
      <c r="M11" t="inlineStr">
        <is>
          <t>Ulmus americana</t>
        </is>
      </c>
      <c r="N11" t="inlineStr">
        <is>
          <t>American elm</t>
        </is>
      </c>
      <c r="O11" t="inlineStr">
        <is>
          <t>53547</t>
        </is>
      </c>
      <c r="P11" t="n">
        <v>21.29</v>
      </c>
      <c r="Q11" t="n">
        <v>28.67</v>
      </c>
      <c r="R11" t="n">
        <v>0</v>
      </c>
      <c r="S11" t="inlineStr">
        <is>
          <t>Unmatch</t>
        </is>
      </c>
      <c r="T11" t="inlineStr">
        <is>
          <t>4</t>
        </is>
      </c>
      <c r="U11" t="n">
        <v>88.91</v>
      </c>
      <c r="V11" t="n">
        <v>39.89</v>
      </c>
      <c r="W11" t="inlineStr">
        <is>
          <t>Below</t>
        </is>
      </c>
      <c r="X11" t="inlineStr">
        <is>
          <t>Below</t>
        </is>
      </c>
      <c r="Y11" t="inlineStr">
        <is>
          <t>Manual review</t>
        </is>
      </c>
    </row>
    <row r="12">
      <c r="A12" t="n">
        <v>11</v>
      </c>
      <c r="B12">
        <f>HYPERLINK("https://imapinvasives.natureserve.org/imap/services/page/Presence/1497942.html", "View")</f>
        <v/>
      </c>
      <c r="C12" t="inlineStr">
        <is>
          <t>https://imapinvasives.natureserve.org/imap/services/page/Presence/1497942.html</t>
        </is>
      </c>
      <c r="D12" t="n">
        <v>1497942</v>
      </c>
      <c r="E12" t="n">
        <v>1515881</v>
      </c>
      <c r="F12">
        <f>HYPERLINK("http://imap3images.s3-website-us-east-1.amazonaws.com/1515881/p/imap_app_photo_1748118198538.jpg", "View")</f>
        <v/>
      </c>
      <c r="G12" t="inlineStr">
        <is>
          <t>http://imap3images.s3-website-us-east-1.amazonaws.com/1515881/p/imap_app_photo_1748118198538.jpg</t>
        </is>
      </c>
      <c r="H12" t="inlineStr">
        <is>
          <t>Alliaria petiolata</t>
        </is>
      </c>
      <c r="I12" t="inlineStr">
        <is>
          <t>Garlic Mustard</t>
        </is>
      </c>
      <c r="J12" t="inlineStr">
        <is>
          <t>56061</t>
        </is>
      </c>
      <c r="K12">
        <f>HYPERLINK("https://www.inaturalist.org/taxa/56061-Alliaria-petiolata", "View")</f>
        <v/>
      </c>
      <c r="L12" t="inlineStr">
        <is>
          <t>https://www.inaturalist.org/taxa/56061-Alliaria-petiolata</t>
        </is>
      </c>
      <c r="M12" t="inlineStr">
        <is>
          <t>Alliaria petiolata</t>
        </is>
      </c>
      <c r="N12" t="inlineStr">
        <is>
          <t>Garlic mustard</t>
        </is>
      </c>
      <c r="O12" t="inlineStr">
        <is>
          <t>56061</t>
        </is>
      </c>
      <c r="P12" t="n">
        <v>23.44</v>
      </c>
      <c r="Q12" t="n">
        <v>92.27</v>
      </c>
      <c r="R12" t="n">
        <v>1</v>
      </c>
      <c r="S12" t="inlineStr">
        <is>
          <t>Match</t>
        </is>
      </c>
      <c r="T12" t="inlineStr">
        <is>
          <t>4</t>
        </is>
      </c>
      <c r="U12" t="n">
        <v>88.91</v>
      </c>
      <c r="V12" t="n">
        <v>39.89</v>
      </c>
      <c r="W12" t="inlineStr">
        <is>
          <t>Above</t>
        </is>
      </c>
      <c r="X12" t="inlineStr">
        <is>
          <t>Below</t>
        </is>
      </c>
      <c r="Y12" t="inlineStr">
        <is>
          <t>Automatically confirmed</t>
        </is>
      </c>
    </row>
    <row r="13">
      <c r="A13" t="n">
        <v>12</v>
      </c>
      <c r="B13">
        <f>HYPERLINK("https://imapinvasives.natureserve.org/imap/services/page/Presence/1497684.html", "View")</f>
        <v/>
      </c>
      <c r="C13" t="inlineStr">
        <is>
          <t>https://imapinvasives.natureserve.org/imap/services/page/Presence/1497684.html</t>
        </is>
      </c>
      <c r="D13" t="n">
        <v>1497684</v>
      </c>
      <c r="E13" t="n">
        <v>1515562</v>
      </c>
      <c r="F13">
        <f>HYPERLINK("http://imap3images.s3-website-us-east-1.amazonaws.com/1515562/p/imap_app_photo_1747745170644.jpg", "View")</f>
        <v/>
      </c>
      <c r="G13" t="inlineStr">
        <is>
          <t>http://imap3images.s3-website-us-east-1.amazonaws.com/1515562/p/imap_app_photo_1747745170644.jpg</t>
        </is>
      </c>
      <c r="H13" t="inlineStr">
        <is>
          <t>Alliaria petiolata</t>
        </is>
      </c>
      <c r="I13" t="inlineStr">
        <is>
          <t>Garlic Mustard</t>
        </is>
      </c>
      <c r="J13" t="inlineStr">
        <is>
          <t>56061</t>
        </is>
      </c>
      <c r="K13">
        <f>HYPERLINK("https://www.inaturalist.org/taxa/56061-Alliaria-petiolata", "View")</f>
        <v/>
      </c>
      <c r="L13" t="inlineStr">
        <is>
          <t>https://www.inaturalist.org/taxa/56061-Alliaria-petiolata</t>
        </is>
      </c>
      <c r="M13" t="inlineStr">
        <is>
          <t>Alliaria petiolata</t>
        </is>
      </c>
      <c r="N13" t="inlineStr">
        <is>
          <t>Garlic mustard</t>
        </is>
      </c>
      <c r="O13" t="inlineStr">
        <is>
          <t>56061</t>
        </is>
      </c>
      <c r="P13" t="n">
        <v>31.47</v>
      </c>
      <c r="Q13" t="n">
        <v>84.04000000000001</v>
      </c>
      <c r="R13" t="n">
        <v>1</v>
      </c>
      <c r="S13" t="inlineStr">
        <is>
          <t>Match</t>
        </is>
      </c>
      <c r="T13" t="inlineStr">
        <is>
          <t>4</t>
        </is>
      </c>
      <c r="U13" t="n">
        <v>88.91</v>
      </c>
      <c r="V13" t="n">
        <v>39.89</v>
      </c>
      <c r="W13" t="inlineStr">
        <is>
          <t>Below</t>
        </is>
      </c>
      <c r="X13" t="inlineStr">
        <is>
          <t>Below</t>
        </is>
      </c>
      <c r="Y13" t="inlineStr">
        <is>
          <t>Manual review</t>
        </is>
      </c>
    </row>
    <row r="14">
      <c r="A14" t="n">
        <v>13</v>
      </c>
      <c r="B14">
        <f>HYPERLINK("https://imapinvasives.natureserve.org/imap/services/page/Presence/1497682.html", "View")</f>
        <v/>
      </c>
      <c r="C14" t="inlineStr">
        <is>
          <t>https://imapinvasives.natureserve.org/imap/services/page/Presence/1497682.html</t>
        </is>
      </c>
      <c r="D14" t="n">
        <v>1497682</v>
      </c>
      <c r="E14" t="n">
        <v>1515560</v>
      </c>
      <c r="F14">
        <f>HYPERLINK("http://imap3images.s3-website-us-east-1.amazonaws.com/1515560/p/imap_app_photo_1747745160870.jpg", "View")</f>
        <v/>
      </c>
      <c r="G14" t="inlineStr">
        <is>
          <t>http://imap3images.s3-website-us-east-1.amazonaws.com/1515560/p/imap_app_photo_1747745160870.jpg</t>
        </is>
      </c>
      <c r="H14" t="inlineStr">
        <is>
          <t>Alliaria petiolata</t>
        </is>
      </c>
      <c r="I14" t="inlineStr">
        <is>
          <t>Garlic Mustard</t>
        </is>
      </c>
      <c r="J14" t="inlineStr">
        <is>
          <t>56061</t>
        </is>
      </c>
      <c r="K14">
        <f>HYPERLINK("https://www.inaturalist.org/taxa/56061-Alliaria-petiolata", "View")</f>
        <v/>
      </c>
      <c r="L14" t="inlineStr">
        <is>
          <t>https://www.inaturalist.org/taxa/56061-Alliaria-petiolata</t>
        </is>
      </c>
      <c r="M14" t="inlineStr">
        <is>
          <t>Alliaria petiolata</t>
        </is>
      </c>
      <c r="N14" t="inlineStr">
        <is>
          <t>Garlic mustard</t>
        </is>
      </c>
      <c r="O14" t="inlineStr">
        <is>
          <t>56061</t>
        </is>
      </c>
      <c r="P14" t="n">
        <v>31.47</v>
      </c>
      <c r="Q14" t="n">
        <v>49.79</v>
      </c>
      <c r="R14" t="n">
        <v>1</v>
      </c>
      <c r="S14" t="inlineStr">
        <is>
          <t>Match</t>
        </is>
      </c>
      <c r="T14" t="inlineStr">
        <is>
          <t>4</t>
        </is>
      </c>
      <c r="U14" t="n">
        <v>88.91</v>
      </c>
      <c r="V14" t="n">
        <v>39.89</v>
      </c>
      <c r="W14" t="inlineStr">
        <is>
          <t>Below</t>
        </is>
      </c>
      <c r="X14" t="inlineStr">
        <is>
          <t>Below</t>
        </is>
      </c>
      <c r="Y14" t="inlineStr">
        <is>
          <t>Manual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2025-07-19T03:50:34Z</dcterms:created>
  <dcterms:modified xmlns:dcterms="http://purl.org/dc/terms/" xmlns:xsi="http://www.w3.org/2001/XMLSchema-instance" xsi:type="dcterms:W3CDTF">2025-07-19T03:50:34Z</dcterms:modified>
</cp:coreProperties>
</file>