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16808\OneDrive - SUNY ESF\Desktop\3 New iMapInvasives Species identified by VisionAPI\Confirmed\"/>
    </mc:Choice>
  </mc:AlternateContent>
  <xr:revisionPtr revIDLastSave="0" documentId="13_ncr:1_{A3572AFB-CEE1-49A0-9474-E472BAB5559F}" xr6:coauthVersionLast="47" xr6:coauthVersionMax="47" xr10:uidLastSave="{00000000-0000-0000-0000-000000000000}"/>
  <bookViews>
    <workbookView xWindow="28680" yWindow="-120" windowWidth="518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K139" i="1"/>
  <c r="F139" i="1"/>
  <c r="B139" i="1"/>
  <c r="K138" i="1"/>
  <c r="F138" i="1"/>
  <c r="B138" i="1"/>
  <c r="K137" i="1"/>
  <c r="F137" i="1"/>
  <c r="B137" i="1"/>
  <c r="K136" i="1"/>
  <c r="F136" i="1"/>
  <c r="B136" i="1"/>
  <c r="K135" i="1"/>
  <c r="F135" i="1"/>
  <c r="B135" i="1"/>
  <c r="K134" i="1"/>
  <c r="F134" i="1"/>
  <c r="B134" i="1"/>
  <c r="K133" i="1"/>
  <c r="F133" i="1"/>
  <c r="B133" i="1"/>
  <c r="K132" i="1"/>
  <c r="F132" i="1"/>
  <c r="B132" i="1"/>
  <c r="K131" i="1"/>
  <c r="F131" i="1"/>
  <c r="B131" i="1"/>
  <c r="K130" i="1"/>
  <c r="F130" i="1"/>
  <c r="B130" i="1"/>
  <c r="K129" i="1"/>
  <c r="F129" i="1"/>
  <c r="B129" i="1"/>
  <c r="K128" i="1"/>
  <c r="F128" i="1"/>
  <c r="B128" i="1"/>
  <c r="K127" i="1"/>
  <c r="F127" i="1"/>
  <c r="B127" i="1"/>
  <c r="K126" i="1"/>
  <c r="F126" i="1"/>
  <c r="B126" i="1"/>
  <c r="K125" i="1"/>
  <c r="F125" i="1"/>
  <c r="B125" i="1"/>
  <c r="K124" i="1"/>
  <c r="F124" i="1"/>
  <c r="B124" i="1"/>
  <c r="K123" i="1"/>
  <c r="F123" i="1"/>
  <c r="B123" i="1"/>
  <c r="K122" i="1"/>
  <c r="F122" i="1"/>
  <c r="B122" i="1"/>
  <c r="K121" i="1"/>
  <c r="F121" i="1"/>
  <c r="B121" i="1"/>
  <c r="K120" i="1"/>
  <c r="F120" i="1"/>
  <c r="B120" i="1"/>
  <c r="K119" i="1"/>
  <c r="F119" i="1"/>
  <c r="B119" i="1"/>
  <c r="K118" i="1"/>
  <c r="F118" i="1"/>
  <c r="B118" i="1"/>
  <c r="K117" i="1"/>
  <c r="F117" i="1"/>
  <c r="B117" i="1"/>
  <c r="K116" i="1"/>
  <c r="F116" i="1"/>
  <c r="B116" i="1"/>
  <c r="K115" i="1"/>
  <c r="F115" i="1"/>
  <c r="B115" i="1"/>
  <c r="K114" i="1"/>
  <c r="F114" i="1"/>
  <c r="B114" i="1"/>
  <c r="K113" i="1"/>
  <c r="F113" i="1"/>
  <c r="B113" i="1"/>
  <c r="K112" i="1"/>
  <c r="F112" i="1"/>
  <c r="B112" i="1"/>
  <c r="K111" i="1"/>
  <c r="F111" i="1"/>
  <c r="B111" i="1"/>
  <c r="K110" i="1"/>
  <c r="F110" i="1"/>
  <c r="B110" i="1"/>
  <c r="K109" i="1"/>
  <c r="F109" i="1"/>
  <c r="B109" i="1"/>
  <c r="K108" i="1"/>
  <c r="F108" i="1"/>
  <c r="B108" i="1"/>
  <c r="K107" i="1"/>
  <c r="F107" i="1"/>
  <c r="B107" i="1"/>
  <c r="K106" i="1"/>
  <c r="F106" i="1"/>
  <c r="B106" i="1"/>
  <c r="K105" i="1"/>
  <c r="F105" i="1"/>
  <c r="B105" i="1"/>
  <c r="K104" i="1"/>
  <c r="F104" i="1"/>
  <c r="B104" i="1"/>
  <c r="K103" i="1"/>
  <c r="F103" i="1"/>
  <c r="B103" i="1"/>
  <c r="K102" i="1"/>
  <c r="F102" i="1"/>
  <c r="B102" i="1"/>
  <c r="K101" i="1"/>
  <c r="F101" i="1"/>
  <c r="B101" i="1"/>
  <c r="K100" i="1"/>
  <c r="F100" i="1"/>
  <c r="B100" i="1"/>
  <c r="K99" i="1"/>
  <c r="F99" i="1"/>
  <c r="B99" i="1"/>
  <c r="K98" i="1"/>
  <c r="F98" i="1"/>
  <c r="B98" i="1"/>
  <c r="K97" i="1"/>
  <c r="F97" i="1"/>
  <c r="B97" i="1"/>
  <c r="K96" i="1"/>
  <c r="F96" i="1"/>
  <c r="B96" i="1"/>
  <c r="K95" i="1"/>
  <c r="F95" i="1"/>
  <c r="B95" i="1"/>
  <c r="K94" i="1"/>
  <c r="F94" i="1"/>
  <c r="B94" i="1"/>
  <c r="K93" i="1"/>
  <c r="F93" i="1"/>
  <c r="B93" i="1"/>
  <c r="K92" i="1"/>
  <c r="F92" i="1"/>
  <c r="B92" i="1"/>
  <c r="K91" i="1"/>
  <c r="F91" i="1"/>
  <c r="B91" i="1"/>
  <c r="K90" i="1"/>
  <c r="F90" i="1"/>
  <c r="B90" i="1"/>
  <c r="K89" i="1"/>
  <c r="F89" i="1"/>
  <c r="B89" i="1"/>
  <c r="K88" i="1"/>
  <c r="F88" i="1"/>
  <c r="B88" i="1"/>
  <c r="K87" i="1"/>
  <c r="F87" i="1"/>
  <c r="B87" i="1"/>
  <c r="K86" i="1"/>
  <c r="F86" i="1"/>
  <c r="B86" i="1"/>
  <c r="K85" i="1"/>
  <c r="F85" i="1"/>
  <c r="B85" i="1"/>
  <c r="K84" i="1"/>
  <c r="F84" i="1"/>
  <c r="B84" i="1"/>
  <c r="K83" i="1"/>
  <c r="F83" i="1"/>
  <c r="B83" i="1"/>
  <c r="K82" i="1"/>
  <c r="F82" i="1"/>
  <c r="B82" i="1"/>
  <c r="K81" i="1"/>
  <c r="F81" i="1"/>
  <c r="B81" i="1"/>
  <c r="K80" i="1"/>
  <c r="F80" i="1"/>
  <c r="B80" i="1"/>
  <c r="K79" i="1"/>
  <c r="F79" i="1"/>
  <c r="B79" i="1"/>
  <c r="K78" i="1"/>
  <c r="F78" i="1"/>
  <c r="B78" i="1"/>
  <c r="K77" i="1"/>
  <c r="F77" i="1"/>
  <c r="B77" i="1"/>
  <c r="K76" i="1"/>
  <c r="F76" i="1"/>
  <c r="B76" i="1"/>
  <c r="K75" i="1"/>
  <c r="F75" i="1"/>
  <c r="B75" i="1"/>
  <c r="K74" i="1"/>
  <c r="F74" i="1"/>
  <c r="B74" i="1"/>
  <c r="K73" i="1"/>
  <c r="F73" i="1"/>
  <c r="B73" i="1"/>
  <c r="K72" i="1"/>
  <c r="F72" i="1"/>
  <c r="B72" i="1"/>
  <c r="K71" i="1"/>
  <c r="F71" i="1"/>
  <c r="B71" i="1"/>
  <c r="K70" i="1"/>
  <c r="F70" i="1"/>
  <c r="B70" i="1"/>
  <c r="K69" i="1"/>
  <c r="F69" i="1"/>
  <c r="B69" i="1"/>
  <c r="K68" i="1"/>
  <c r="F68" i="1"/>
  <c r="B68" i="1"/>
  <c r="K67" i="1"/>
  <c r="F67" i="1"/>
  <c r="B67" i="1"/>
  <c r="K66" i="1"/>
  <c r="F66" i="1"/>
  <c r="B66" i="1"/>
  <c r="K65" i="1"/>
  <c r="F65" i="1"/>
  <c r="B65" i="1"/>
  <c r="K64" i="1"/>
  <c r="F64" i="1"/>
  <c r="B64" i="1"/>
  <c r="K63" i="1"/>
  <c r="F63" i="1"/>
  <c r="B63" i="1"/>
  <c r="K62" i="1"/>
  <c r="F62" i="1"/>
  <c r="B62" i="1"/>
  <c r="K61" i="1"/>
  <c r="F61" i="1"/>
  <c r="B61" i="1"/>
  <c r="K60" i="1"/>
  <c r="F60" i="1"/>
  <c r="B60" i="1"/>
  <c r="K59" i="1"/>
  <c r="F59" i="1"/>
  <c r="B59" i="1"/>
  <c r="K58" i="1"/>
  <c r="F58" i="1"/>
  <c r="B58" i="1"/>
  <c r="K57" i="1"/>
  <c r="F57" i="1"/>
  <c r="B57" i="1"/>
  <c r="K56" i="1"/>
  <c r="F56" i="1"/>
  <c r="B56" i="1"/>
  <c r="K55" i="1"/>
  <c r="F55" i="1"/>
  <c r="B55" i="1"/>
  <c r="K54" i="1"/>
  <c r="F54" i="1"/>
  <c r="B54" i="1"/>
  <c r="K53" i="1"/>
  <c r="F53" i="1"/>
  <c r="B53" i="1"/>
  <c r="K52" i="1"/>
  <c r="F52" i="1"/>
  <c r="B52" i="1"/>
  <c r="K51" i="1"/>
  <c r="F51" i="1"/>
  <c r="B51" i="1"/>
  <c r="K50" i="1"/>
  <c r="F50" i="1"/>
  <c r="B50" i="1"/>
  <c r="K49" i="1"/>
  <c r="F49" i="1"/>
  <c r="B49" i="1"/>
  <c r="K48" i="1"/>
  <c r="F48" i="1"/>
  <c r="B48" i="1"/>
  <c r="K47" i="1"/>
  <c r="F47" i="1"/>
  <c r="B47" i="1"/>
  <c r="K46" i="1"/>
  <c r="F46" i="1"/>
  <c r="B46" i="1"/>
  <c r="K45" i="1"/>
  <c r="F45" i="1"/>
  <c r="B45" i="1"/>
  <c r="K44" i="1"/>
  <c r="B44" i="1"/>
  <c r="K43" i="1"/>
  <c r="F43" i="1"/>
  <c r="B43" i="1"/>
  <c r="K42" i="1"/>
  <c r="F42" i="1"/>
  <c r="B42" i="1"/>
  <c r="K41" i="1"/>
  <c r="F41" i="1"/>
  <c r="B41" i="1"/>
  <c r="K40" i="1"/>
  <c r="F40" i="1"/>
  <c r="B40" i="1"/>
  <c r="K39" i="1"/>
  <c r="F39" i="1"/>
  <c r="B39" i="1"/>
  <c r="K38" i="1"/>
  <c r="F38" i="1"/>
  <c r="B38" i="1"/>
  <c r="K37" i="1"/>
  <c r="F37" i="1"/>
  <c r="B37" i="1"/>
  <c r="K36" i="1"/>
  <c r="F36" i="1"/>
  <c r="B36" i="1"/>
  <c r="K35" i="1"/>
  <c r="F35" i="1"/>
  <c r="B35" i="1"/>
  <c r="K34" i="1"/>
  <c r="F34" i="1"/>
  <c r="B34" i="1"/>
  <c r="K33" i="1"/>
  <c r="F33" i="1"/>
  <c r="B33" i="1"/>
  <c r="K32" i="1"/>
  <c r="F32" i="1"/>
  <c r="B32" i="1"/>
  <c r="K31" i="1"/>
  <c r="F31" i="1"/>
  <c r="B31" i="1"/>
  <c r="K30" i="1"/>
  <c r="F30" i="1"/>
  <c r="B30" i="1"/>
  <c r="K29" i="1"/>
  <c r="F29" i="1"/>
  <c r="B29" i="1"/>
  <c r="K28" i="1"/>
  <c r="F28" i="1"/>
  <c r="B28" i="1"/>
  <c r="K27" i="1"/>
  <c r="F27" i="1"/>
  <c r="B27" i="1"/>
  <c r="K26" i="1"/>
  <c r="F26" i="1"/>
  <c r="B26" i="1"/>
  <c r="K25" i="1"/>
  <c r="F25" i="1"/>
  <c r="B25" i="1"/>
  <c r="K24" i="1"/>
  <c r="F24" i="1"/>
  <c r="B24" i="1"/>
  <c r="K23" i="1"/>
  <c r="F23" i="1"/>
  <c r="B23" i="1"/>
  <c r="K22" i="1"/>
  <c r="F22" i="1"/>
  <c r="B22" i="1"/>
  <c r="K21" i="1"/>
  <c r="F21" i="1"/>
  <c r="B21" i="1"/>
  <c r="K20" i="1"/>
  <c r="F20" i="1"/>
  <c r="B20" i="1"/>
  <c r="K19" i="1"/>
  <c r="F19" i="1"/>
  <c r="B19" i="1"/>
  <c r="K18" i="1"/>
  <c r="F18" i="1"/>
  <c r="B18" i="1"/>
  <c r="K17" i="1"/>
  <c r="F17" i="1"/>
  <c r="B17" i="1"/>
  <c r="K16" i="1"/>
  <c r="F16" i="1"/>
  <c r="B16" i="1"/>
  <c r="K15" i="1"/>
  <c r="F15" i="1"/>
  <c r="B15" i="1"/>
  <c r="K14" i="1"/>
  <c r="F14" i="1"/>
  <c r="B14" i="1"/>
  <c r="K13" i="1"/>
  <c r="F13" i="1"/>
  <c r="B13" i="1"/>
  <c r="K12" i="1"/>
  <c r="F12" i="1"/>
  <c r="B12" i="1"/>
  <c r="K11" i="1"/>
  <c r="F11" i="1"/>
  <c r="B11" i="1"/>
  <c r="K10" i="1"/>
  <c r="F10" i="1"/>
  <c r="B10" i="1"/>
  <c r="K9" i="1"/>
  <c r="F9" i="1"/>
  <c r="B9" i="1"/>
  <c r="K8" i="1"/>
  <c r="F8" i="1"/>
  <c r="B8" i="1"/>
  <c r="K7" i="1"/>
  <c r="F7" i="1"/>
  <c r="B7" i="1"/>
  <c r="K6" i="1"/>
  <c r="F6" i="1"/>
  <c r="B6" i="1"/>
  <c r="K5" i="1"/>
  <c r="F5" i="1"/>
  <c r="B5" i="1"/>
  <c r="K4" i="1"/>
  <c r="F4" i="1"/>
  <c r="B4" i="1"/>
  <c r="K3" i="1"/>
  <c r="F3" i="1"/>
  <c r="B3" i="1"/>
  <c r="K2" i="1"/>
  <c r="F2" i="1"/>
  <c r="B2" i="1"/>
</calcChain>
</file>

<file path=xl/sharedStrings.xml><?xml version="1.0" encoding="utf-8"?>
<sst xmlns="http://schemas.openxmlformats.org/spreadsheetml/2006/main" count="1542" uniqueCount="371">
  <si>
    <t>S.L.</t>
  </si>
  <si>
    <t>imaplink</t>
  </si>
  <si>
    <t>imaplink_raw</t>
  </si>
  <si>
    <t>presenceId</t>
  </si>
  <si>
    <t>presentSpeciesId</t>
  </si>
  <si>
    <t>iMapPhoto</t>
  </si>
  <si>
    <t>iMapPhoto_raw</t>
  </si>
  <si>
    <t>imap_sci</t>
  </si>
  <si>
    <t>imap_com</t>
  </si>
  <si>
    <t>imap_record_taxon</t>
  </si>
  <si>
    <t>inatlink</t>
  </si>
  <si>
    <t>inatlink_raw</t>
  </si>
  <si>
    <t>inat_sci</t>
  </si>
  <si>
    <t>inat_com</t>
  </si>
  <si>
    <t>inat_taxon</t>
  </si>
  <si>
    <t>geo_score</t>
  </si>
  <si>
    <t>com_score</t>
  </si>
  <si>
    <t>visual_model</t>
  </si>
  <si>
    <t>species_label</t>
  </si>
  <si>
    <t>com_status</t>
  </si>
  <si>
    <t>https://imapinvasives.natureserve.org/imap/services/page/Presence/1499688.html</t>
  </si>
  <si>
    <t>http://imap3images.s3-website-us-east-1.amazonaws.com/1517845/p/IMG_2875.jpeg</t>
  </si>
  <si>
    <t>Pastinaca sativa</t>
  </si>
  <si>
    <t>Wild Parsnip</t>
  </si>
  <si>
    <t>59778</t>
  </si>
  <si>
    <t>https://www.inaturalist.org/taxa/59778-Pastinaca-sativa</t>
  </si>
  <si>
    <t>Wild parsnip</t>
  </si>
  <si>
    <t>https://imapinvasives.natureserve.org/imap/services/page/Presence/1498244.html</t>
  </si>
  <si>
    <t>http://imap3images.s3-website-us-east-1.amazonaws.com/1516213/p/Photo_1.jpg</t>
  </si>
  <si>
    <t>https://imapinvasives.natureserve.org/imap/services/page/Presence/1498237.html</t>
  </si>
  <si>
    <t>http://imap3images.s3-website-us-east-1.amazonaws.com/1516206/p/Photo_1.jpg</t>
  </si>
  <si>
    <t>https://imapinvasives.natureserve.org/imap/services/page/Presence/1497961.html</t>
  </si>
  <si>
    <t>http://imap3images.s3-website-us-east-1.amazonaws.com/1515900/p/imap_app_photo_1748194387383.jpg</t>
  </si>
  <si>
    <t>https://imapinvasives.natureserve.org/imap/services/page/Presence/1496048.html</t>
  </si>
  <si>
    <t>http://imap3images.s3-website-us-east-1.amazonaws.com/1513638/p/Photo_1.jpg</t>
  </si>
  <si>
    <t>https://imapinvasives.natureserve.org/imap/services/page/Presence/1486167.html</t>
  </si>
  <si>
    <t>http://imap3images.s3-website-us-east-1.amazonaws.com/1503440/p/Photo_1.jpg</t>
  </si>
  <si>
    <t>https://imapinvasives.natureserve.org/imap/services/page/Presence/1477034.html</t>
  </si>
  <si>
    <t>http://imap3images.s3-website-us-east-1.amazonaws.com/1493950/p/Photo_1.jpg</t>
  </si>
  <si>
    <t>https://imapinvasives.natureserve.org/imap/services/page/Presence/1477033.html</t>
  </si>
  <si>
    <t>http://imap3images.s3-website-us-east-1.amazonaws.com/1493935/p/Photo_1.jpg</t>
  </si>
  <si>
    <t>https://imapinvasives.natureserve.org/imap/services/page/Presence/1477031.html</t>
  </si>
  <si>
    <t>http://imap3images.s3-website-us-east-1.amazonaws.com/1493933/p/Photo_1.jpg</t>
  </si>
  <si>
    <t>https://imapinvasives.natureserve.org/imap/services/page/Presence/1476787.html</t>
  </si>
  <si>
    <t>http://imap3images.s3-website-us-east-1.amazonaws.com/1493570/p/attachment2.jpg</t>
  </si>
  <si>
    <t>https://imapinvasives.natureserve.org/imap/services/page/Presence/1476783.html</t>
  </si>
  <si>
    <t>http://imap3images.s3-website-us-east-1.amazonaws.com/1493562/p/attachment1.jpg</t>
  </si>
  <si>
    <t>https://imapinvasives.natureserve.org/imap/services/page/Presence/1476781.html</t>
  </si>
  <si>
    <t>http://imap3images.s3-website-us-east-1.amazonaws.com/1493556/p/attachment1.jpg</t>
  </si>
  <si>
    <t>https://imapinvasives.natureserve.org/imap/services/page/Presence/1476776.html</t>
  </si>
  <si>
    <t>http://imap3images.s3-website-us-east-1.amazonaws.com/1493550/p/attachment1.jpg</t>
  </si>
  <si>
    <t>https://imapinvasives.natureserve.org/imap/services/page/Presence/1476745.html</t>
  </si>
  <si>
    <t>http://imap3images.s3-website-us-east-1.amazonaws.com/1493519/p/Photo_1.jpg</t>
  </si>
  <si>
    <t>https://www.inaturalist.org/taxa/60125-Cicuta-maculata</t>
  </si>
  <si>
    <t>Cicuta maculata</t>
  </si>
  <si>
    <t>Water hemlock</t>
  </si>
  <si>
    <t>60125</t>
  </si>
  <si>
    <t>https://imapinvasives.natureserve.org/imap/services/page/Presence/1475377.html</t>
  </si>
  <si>
    <t>http://imap3images.s3-website-us-east-1.amazonaws.com/1491837/p/Photo_1.jpg</t>
  </si>
  <si>
    <t>https://imapinvasives.natureserve.org/imap/services/page/Presence/1475371.html</t>
  </si>
  <si>
    <t>http://imap3images.s3-website-us-east-1.amazonaws.com/1491831/p/Photo_1.jpg</t>
  </si>
  <si>
    <t>https://imapinvasives.natureserve.org/imap/services/page/Presence/1475220.html</t>
  </si>
  <si>
    <t>http://imap3images.s3-website-us-east-1.amazonaws.com/1491646/p/Photo_1.jpg</t>
  </si>
  <si>
    <t>https://imapinvasives.natureserve.org/imap/services/page/Presence/1475219.html</t>
  </si>
  <si>
    <t>http://imap3images.s3-website-us-east-1.amazonaws.com/1491641/p/Photo_1.jpg</t>
  </si>
  <si>
    <t>https://www.inaturalist.org/taxa/82576-Onoclea-sensibilis</t>
  </si>
  <si>
    <t>Onoclea sensibilis</t>
  </si>
  <si>
    <t>Sensitive fern</t>
  </si>
  <si>
    <t>82576</t>
  </si>
  <si>
    <t>https://imapinvasives.natureserve.org/imap/services/page/Presence/1475218.html</t>
  </si>
  <si>
    <t>http://imap3images.s3-website-us-east-1.amazonaws.com/1491635/p/Photo_1.jpg</t>
  </si>
  <si>
    <t>https://www.inaturalist.org/taxa/1002684-Osmunda-spectabilis</t>
  </si>
  <si>
    <t>Osmunda spectabilis</t>
  </si>
  <si>
    <t>American royal fern</t>
  </si>
  <si>
    <t>1002684</t>
  </si>
  <si>
    <t>https://imapinvasives.natureserve.org/imap/services/page/Presence/1475203.html</t>
  </si>
  <si>
    <t>http://imap3images.s3-website-us-east-1.amazonaws.com/1491619/p/Photo_1.jpg</t>
  </si>
  <si>
    <t>https://imapinvasives.natureserve.org/imap/services/page/Presence/1475194.html</t>
  </si>
  <si>
    <t>http://imap3images.s3-website-us-east-1.amazonaws.com/1491608/p/attachment1.jpg</t>
  </si>
  <si>
    <t>https://imapinvasives.natureserve.org/imap/services/page/Presence/1475184.html</t>
  </si>
  <si>
    <t>http://imap3images.s3-website-us-east-1.amazonaws.com/1491595/p/Photo_1.jpg</t>
  </si>
  <si>
    <t>https://imapinvasives.natureserve.org/imap/services/page/Presence/1475133.html</t>
  </si>
  <si>
    <t>http://imap3images.s3-website-us-east-1.amazonaws.com/1491536/p/Photo_1.jpg</t>
  </si>
  <si>
    <t>https://imapinvasives.natureserve.org/imap/services/page/Presence/1472726.html</t>
  </si>
  <si>
    <t>http://imap3images.s3-website-us-east-1.amazonaws.com/1488650/p/Photo_1.jpg</t>
  </si>
  <si>
    <t>https://imapinvasives.natureserve.org/imap/services/page/Presence/1472725.html</t>
  </si>
  <si>
    <t>http://imap3images.s3-website-us-east-1.amazonaws.com/1488649/p/Photo_2.jpg</t>
  </si>
  <si>
    <t>https://imapinvasives.natureserve.org/imap/services/page/Presence/1472719.html</t>
  </si>
  <si>
    <t>http://imap3images.s3-website-us-east-1.amazonaws.com/1488641/p/Photo_2.jpg</t>
  </si>
  <si>
    <t>https://imapinvasives.natureserve.org/imap/services/page/Presence/1472488.html</t>
  </si>
  <si>
    <t>http://imap3images.s3-website-us-east-1.amazonaws.com/1488363/p/Photo_1.jpg</t>
  </si>
  <si>
    <t>https://imapinvasives.natureserve.org/imap/services/page/Presence/1472487.html</t>
  </si>
  <si>
    <t>http://imap3images.s3-website-us-east-1.amazonaws.com/1488362/p/Photo_1.jpg</t>
  </si>
  <si>
    <t>https://imapinvasives.natureserve.org/imap/services/page/Presence/1472486.html</t>
  </si>
  <si>
    <t>http://imap3images.s3-website-us-east-1.amazonaws.com/1488361/p/Photo_2.jpg</t>
  </si>
  <si>
    <t>https://www.inaturalist.org/taxa/119936-Vitis-riparia</t>
  </si>
  <si>
    <t>Vitis riparia</t>
  </si>
  <si>
    <t>Riverbank grape</t>
  </si>
  <si>
    <t>119936</t>
  </si>
  <si>
    <t>https://imapinvasives.natureserve.org/imap/services/page/Presence/1472413.html</t>
  </si>
  <si>
    <t>http://imap3images.s3-website-us-east-1.amazonaws.com/1488286/p/Photo_1.jpg</t>
  </si>
  <si>
    <t>https://imapinvasives.natureserve.org/imap/services/page/Presence/1468995.html</t>
  </si>
  <si>
    <t>http://imap3images.s3-website-us-east-1.amazonaws.com/1484444/p/Photo_1.jpg</t>
  </si>
  <si>
    <t>https://www.inaturalist.org/taxa/58795-Apocynum-cannabinum</t>
  </si>
  <si>
    <t>Apocynum cannabinum</t>
  </si>
  <si>
    <t>Hemp dogbane</t>
  </si>
  <si>
    <t>58795</t>
  </si>
  <si>
    <t>https://imapinvasives.natureserve.org/imap/services/page/Presence/1468990.html</t>
  </si>
  <si>
    <t>http://imap3images.s3-website-us-east-1.amazonaws.com/1484434/p/Photo_1.jpg</t>
  </si>
  <si>
    <t>https://imapinvasives.natureserve.org/imap/services/page/Presence/1468988.html</t>
  </si>
  <si>
    <t>http://imap3images.s3-website-us-east-1.amazonaws.com/1484432/p/Photo_1.jpg</t>
  </si>
  <si>
    <t>https://imapinvasives.natureserve.org/imap/services/page/Presence/1460588.html</t>
  </si>
  <si>
    <t>http://imap3images.s3-website-us-east-1.amazonaws.com/1475613/p/Photo_1.jpg</t>
  </si>
  <si>
    <t>https://imapinvasives.natureserve.org/imap/services/page/Presence/1459106.html</t>
  </si>
  <si>
    <t>http://imap3images.s3-website-us-east-1.amazonaws.com/1474101/p/imap_app_photo_1728319312255.jpg</t>
  </si>
  <si>
    <t>https://imapinvasives.natureserve.org/imap/services/page/Presence/1457679.html</t>
  </si>
  <si>
    <t>http://imap3images.s3-website-us-east-1.amazonaws.com/1472599/p/IMG_6284.png</t>
  </si>
  <si>
    <t>https://www.inaturalist.org/taxa/47911-Asclepias-syriaca</t>
  </si>
  <si>
    <t>Asclepias syriaca</t>
  </si>
  <si>
    <t>Common milkweed</t>
  </si>
  <si>
    <t>47911</t>
  </si>
  <si>
    <t>https://imapinvasives.natureserve.org/imap/services/page/Presence/1456210.html</t>
  </si>
  <si>
    <t>http://imap3images.s3-website-us-east-1.amazonaws.com/1471109/p/imap_app_photo_1727110777598.jpg</t>
  </si>
  <si>
    <t>https://imapinvasives.natureserve.org/imap/services/page/Presence/1456209.html</t>
  </si>
  <si>
    <t>http://imap3images.s3-website-us-east-1.amazonaws.com/1471108/p/imap_app_photo_1727110771408.jpg</t>
  </si>
  <si>
    <t>https://imapinvasives.natureserve.org/imap/services/page/Presence/1456204.html</t>
  </si>
  <si>
    <t>http://imap3images.s3-website-us-east-1.amazonaws.com/1471103/p/imap_app_photo_1727109611018.jpg</t>
  </si>
  <si>
    <t>https://www.inaturalist.org/taxa/130989-Euthamia-graminifolia</t>
  </si>
  <si>
    <t>Euthamia graminifolia</t>
  </si>
  <si>
    <t>Flat-topped goldenrod</t>
  </si>
  <si>
    <t>130989</t>
  </si>
  <si>
    <t>https://imapinvasives.natureserve.org/imap/services/page/Presence/1456079.html</t>
  </si>
  <si>
    <t>http://imap3images.s3-website-us-east-1.amazonaws.com/1470978/p/imap_app_photo_1727043195702.jpg</t>
  </si>
  <si>
    <t>https://imapinvasives.natureserve.org/imap/services/page/Presence/1456065.html</t>
  </si>
  <si>
    <t>http://imap3images.s3-website-us-east-1.amazonaws.com/1470964/p/imap_app_photo_1727036106593.jpg</t>
  </si>
  <si>
    <t>https://imapinvasives.natureserve.org/imap/services/page/Presence/1456030.html</t>
  </si>
  <si>
    <t>http://imap3images.s3-website-us-east-1.amazonaws.com/1470929/p/imap_app_photo_1727014683244.jpg</t>
  </si>
  <si>
    <t>https://imapinvasives.natureserve.org/imap/services/page/Presence/1456025.html</t>
  </si>
  <si>
    <t>http://imap3images.s3-website-us-east-1.amazonaws.com/1470924/p/imap_app_photo_1727001860724.jpg</t>
  </si>
  <si>
    <t>https://imapinvasives.natureserve.org/imap/services/page/Presence/1455999.html</t>
  </si>
  <si>
    <t>http://imap3images.s3-website-us-east-1.amazonaws.com/1470898/p/imap_app_photo_1726936516979.jpg</t>
  </si>
  <si>
    <t>https://imapinvasives.natureserve.org/imap/services/page/Presence/1455993.html</t>
  </si>
  <si>
    <t>http://imap3images.s3-website-us-east-1.amazonaws.com/1470892/p/imap_app_photo_1726933655134.jpg</t>
  </si>
  <si>
    <t>https://imapinvasives.natureserve.org/imap/services/page/Presence/1455986.html</t>
  </si>
  <si>
    <t>http://imap3images.s3-website-us-east-1.amazonaws.com/1470885/p/imap_app_photo_1726933560142.jpg</t>
  </si>
  <si>
    <t>https://imapinvasives.natureserve.org/imap/services/page/Presence/1455223.html</t>
  </si>
  <si>
    <t>http://imap3images.s3-website-us-east-1.amazonaws.com/1470117/p/imap_app_photo_1726843937929.jpg</t>
  </si>
  <si>
    <t>https://imapinvasives.natureserve.org/imap/services/page/Presence/1455050.html</t>
  </si>
  <si>
    <t>http://imap3images.s3-website-us-east-1.amazonaws.com/1469927/p/imap_app_photo_1726754351991.jpg</t>
  </si>
  <si>
    <t>https://imapinvasives.natureserve.org/imap/services/page/Presence/1443499.html</t>
  </si>
  <si>
    <t>http://imap3images.s3-website-us-east-1.amazonaws.com/1458127/p/dying_parsnip_along_trail.jpg</t>
  </si>
  <si>
    <t>https://www.inaturalist.org/taxa/362191-Montrichardia-arborescens</t>
  </si>
  <si>
    <t>Montrichardia arborescens</t>
  </si>
  <si>
    <t>Yautia madera</t>
  </si>
  <si>
    <t>362191</t>
  </si>
  <si>
    <t>https://imapinvasives.natureserve.org/imap/services/page/Presence/1436719.html</t>
  </si>
  <si>
    <t>http://imap3images.s3-website-us-east-1.amazonaws.com/1450752/p/image.jpg</t>
  </si>
  <si>
    <t>https://imapinvasives.natureserve.org/imap/services/page/Presence/1434917.html</t>
  </si>
  <si>
    <t>http://imap3images.s3-website-us-east-1.amazonaws.com/1448607/p/IMG_4361.jpg</t>
  </si>
  <si>
    <t>https://imapinvasives.natureserve.org/imap/services/page/Presence/1434913.html</t>
  </si>
  <si>
    <t>http://imap3images.s3-website-us-east-1.amazonaws.com/1448603/p/IMG_6103.JPG</t>
  </si>
  <si>
    <t>https://imapinvasives.natureserve.org/imap/services/page/Presence/1434906.html</t>
  </si>
  <si>
    <t>http://imap3images.s3-website-us-east-1.amazonaws.com/1448596/p/IMG_5302.jpeg</t>
  </si>
  <si>
    <t>https://imapinvasives.natureserve.org/imap/services/page/Presence/1434904.html</t>
  </si>
  <si>
    <t>http://imap3images.s3-website-us-east-1.amazonaws.com/1448594/p/20240701_150832.jpg</t>
  </si>
  <si>
    <t>https://imapinvasives.natureserve.org/imap/services/page/Presence/1434898.html</t>
  </si>
  <si>
    <t>http://imap3images.s3-website-us-east-1.amazonaws.com/1448588/p/inbound8136430857775598105.jpg</t>
  </si>
  <si>
    <t>https://imapinvasives.natureserve.org/imap/services/page/Presence/1434897.html</t>
  </si>
  <si>
    <t>http://imap3images.s3-website-us-east-1.amazonaws.com/1448587/p/20240624_200043.jpg</t>
  </si>
  <si>
    <t>https://imapinvasives.natureserve.org/imap/services/page/Presence/1434895.html</t>
  </si>
  <si>
    <t>http://imap3images.s3-website-us-east-1.amazonaws.com/1448585/p/1000007168.jpg</t>
  </si>
  <si>
    <t>https://imapinvasives.natureserve.org/imap/services/page/Presence/1434846.html</t>
  </si>
  <si>
    <t>http://imap3images.s3-website-us-east-1.amazonaws.com/1448536/p/1000007530.jpg</t>
  </si>
  <si>
    <t>https://imapinvasives.natureserve.org/imap/services/page/Presence/1434845.html</t>
  </si>
  <si>
    <t>http://imap3images.s3-website-us-east-1.amazonaws.com/1448535/p/IMG_0617.jpeg</t>
  </si>
  <si>
    <t>https://imapinvasives.natureserve.org/imap/services/page/Presence/1416989.html</t>
  </si>
  <si>
    <t>http://imap3images.s3-website-us-east-1.amazonaws.com/1430636/p/1000012600.jpg</t>
  </si>
  <si>
    <t>https://imapinvasives.natureserve.org/imap/services/page/Presence/1416724.html</t>
  </si>
  <si>
    <t>http://imap3images.s3-website-us-east-1.amazonaws.com/1430262/p/IMG_1807.jpeg</t>
  </si>
  <si>
    <t>https://imapinvasives.natureserve.org/imap/services/page/Presence/1416678.html</t>
  </si>
  <si>
    <t>http://imap3images.s3-website-us-east-1.amazonaws.com/1430215/p/imap_app_photo_1720221743679.jpg</t>
  </si>
  <si>
    <t>https://imapinvasives.natureserve.org/imap/services/page/Presence/1416677.html</t>
  </si>
  <si>
    <t>http://imap3images.s3-website-us-east-1.amazonaws.com/1430214/p/imap_app_photo_1720221090383.jpg</t>
  </si>
  <si>
    <t>https://imapinvasives.natureserve.org/imap/services/page/Presence/1413817.html</t>
  </si>
  <si>
    <t>http://imap3images.s3-website-us-east-1.amazonaws.com/1427316/p/imap_app_photo_1719602060643.jpg</t>
  </si>
  <si>
    <t>https://imapinvasives.natureserve.org/imap/services/page/Presence/1413304.html</t>
  </si>
  <si>
    <t>http://imap3images.s3-website-us-east-1.amazonaws.com/1426484/p/IMG_20240626_075920.jpg</t>
  </si>
  <si>
    <t>https://imapinvasives.natureserve.org/imap/services/page/Presence/1412642.html</t>
  </si>
  <si>
    <t>http://imap3images.s3-website-us-east-1.amazonaws.com/1425395/p/IMG_4781.jpg</t>
  </si>
  <si>
    <t>https://imapinvasives.natureserve.org/imap/services/page/Presence/1412149.html</t>
  </si>
  <si>
    <t>http://imap3images.s3-website-us-east-1.amazonaws.com/1424845/p/imap_app_photo_1718825391039.jpg</t>
  </si>
  <si>
    <t>https://imapinvasives.natureserve.org/imap/services/page/Presence/1412092.html</t>
  </si>
  <si>
    <t>http://imap3images.s3-website-us-east-1.amazonaws.com/1424788/p/imap_app_photo_1718759670315.jpg</t>
  </si>
  <si>
    <t>https://imapinvasives.natureserve.org/imap/services/page/Presence/1411902.html</t>
  </si>
  <si>
    <t>http://imap3images.s3-website-us-east-1.amazonaws.com/1424578/p/imap_app_photo_1718559015205.jpg</t>
  </si>
  <si>
    <t>https://imapinvasives.natureserve.org/imap/services/page/Presence/1411374.html</t>
  </si>
  <si>
    <t>http://imap3images.s3-website-us-east-1.amazonaws.com/1423942/p/imap_app_photo_1718369475054.jpg</t>
  </si>
  <si>
    <t>https://imapinvasives.natureserve.org/imap/services/page/Presence/1410830.html</t>
  </si>
  <si>
    <t>http://imap3images.s3-website-us-east-1.amazonaws.com/1423370/p/imap_app_photo_1717890472945.jpg</t>
  </si>
  <si>
    <t>https://imapinvasives.natureserve.org/imap/services/page/Presence/1410829.html</t>
  </si>
  <si>
    <t>http://imap3images.s3-website-us-east-1.amazonaws.com/1423369/p/PXL_20240608_163112793.MP.jpg</t>
  </si>
  <si>
    <t>https://imapinvasives.natureserve.org/imap/services/page/Presence/1409512.html</t>
  </si>
  <si>
    <t>http://imap3images.s3-website-us-east-1.amazonaws.com/1421946/p/Photo_1.jpg</t>
  </si>
  <si>
    <t>https://www.inaturalist.org/taxa/79148-Solidago-altissima</t>
  </si>
  <si>
    <t>Solidago altissima</t>
  </si>
  <si>
    <t>Tall goldenrod</t>
  </si>
  <si>
    <t>79148</t>
  </si>
  <si>
    <t>https://imapinvasives.natureserve.org/imap/services/page/Presence/1393615.html</t>
  </si>
  <si>
    <t>http://imap3images.s3-website-us-east-1.amazonaws.com/1411809/p/Photo_1.jpg</t>
  </si>
  <si>
    <t>https://imapinvasives.natureserve.org/imap/services/page/Presence/1393591.html</t>
  </si>
  <si>
    <t>http://imap3images.s3-website-us-east-1.amazonaws.com/1411734/p/Photo_1.jpg</t>
  </si>
  <si>
    <t>https://imapinvasives.natureserve.org/imap/services/page/Presence/1362841.html</t>
  </si>
  <si>
    <t>http://imap3images.s3-website-us-east-1.amazonaws.com/1380590/p/Photo_1.jpg</t>
  </si>
  <si>
    <t>https://www.inaturalist.org/taxa/56160-Valeriana-officinalis</t>
  </si>
  <si>
    <t>Valeriana officinalis</t>
  </si>
  <si>
    <t>Common valerian</t>
  </si>
  <si>
    <t>56160</t>
  </si>
  <si>
    <t>https://imapinvasives.natureserve.org/imap/services/page/Presence/1355117.html</t>
  </si>
  <si>
    <t>http://imap3images.s3-website-us-east-1.amazonaws.com/1372749/p/2DCE2A3B-66D0-4D2B-A2BB-48D486112F00.jpeg</t>
  </si>
  <si>
    <t>https://www.inaturalist.org/taxa/708885-Allium-nutans</t>
  </si>
  <si>
    <t>Allium nutans</t>
  </si>
  <si>
    <t>Siberian chives</t>
  </si>
  <si>
    <t>708885</t>
  </si>
  <si>
    <t>https://imapinvasives.natureserve.org/imap/services/page/Presence/1355098.html</t>
  </si>
  <si>
    <t>http://imap3images.s3-website-us-east-1.amazonaws.com/1372730/p/20220731_201604.jpg</t>
  </si>
  <si>
    <t>https://imapinvasives.natureserve.org/imap/services/page/Presence/1355088.html</t>
  </si>
  <si>
    <t>http://imap3images.s3-website-us-east-1.amazonaws.com/1372720/p/Wild_Parsnip_3.jpg</t>
  </si>
  <si>
    <t>https://imapinvasives.natureserve.org/imap/services/page/Presence/1355086.html</t>
  </si>
  <si>
    <t>http://imap3images.s3-website-us-east-1.amazonaws.com/1372718/p/20220712_125116.jpg</t>
  </si>
  <si>
    <t>https://imapinvasives.natureserve.org/imap/services/page/Presence/1355085.html</t>
  </si>
  <si>
    <t>http://imap3images.s3-website-us-east-1.amazonaws.com/1372717/p/IMG_20220714_110730.jpg</t>
  </si>
  <si>
    <t>https://imapinvasives.natureserve.org/imap/services/page/Presence/1355082.html</t>
  </si>
  <si>
    <t>http://imap3images.s3-website-us-east-1.amazonaws.com/1372714/p/11D55AA2-B7A9-49BB-B699-C930351B7C3D.jpeg</t>
  </si>
  <si>
    <t>https://imapinvasives.natureserve.org/imap/services/page/Presence/1355081.html</t>
  </si>
  <si>
    <t>http://imap3images.s3-website-us-east-1.amazonaws.com/1372713/p/9B792B18-F75C-486A-A782-6B390B10926C.jpeg</t>
  </si>
  <si>
    <t>https://imapinvasives.natureserve.org/imap/services/page/Presence/1354713.html</t>
  </si>
  <si>
    <t>http://imap3images.s3-website-us-east-1.amazonaws.com/1372229/p/imap_app_photo_1695607192343.jpg</t>
  </si>
  <si>
    <t>https://imapinvasives.natureserve.org/imap/services/page/Presence/1354694.html</t>
  </si>
  <si>
    <t>http://imap3images.s3-website-us-east-1.amazonaws.com/1372210/p/imap_app_photo_1695594584360.jpg</t>
  </si>
  <si>
    <t>https://imapinvasives.natureserve.org/imap/services/page/Presence/1354686.html</t>
  </si>
  <si>
    <t>http://imap3images.s3-website-us-east-1.amazonaws.com/1372202/p/imap_app_photo_1695593433387.jpg</t>
  </si>
  <si>
    <t>https://imapinvasives.natureserve.org/imap/services/page/Presence/1354612.html</t>
  </si>
  <si>
    <t>http://imap3images.s3-website-us-east-1.amazonaws.com/1372128/p/imap_app_photo_1695494683581.jpg</t>
  </si>
  <si>
    <t>https://imapinvasives.natureserve.org/imap/services/page/Presence/1349888.html</t>
  </si>
  <si>
    <t>http://imap3images.s3-website-us-east-1.amazonaws.com/1366846/p/Photo_3.jpg</t>
  </si>
  <si>
    <t>https://imapinvasives.natureserve.org/imap/services/page/Presence/1348149.html</t>
  </si>
  <si>
    <t>http://imap3images.s3-website-us-east-1.amazonaws.com/1364843/p/IMG_4523_1_.JPG</t>
  </si>
  <si>
    <t>https://imapinvasives.natureserve.org/imap/services/page/Presence/1343045.html</t>
  </si>
  <si>
    <t>http://imap3images.s3-website-us-east-1.amazonaws.com/1358581/p/imap_app_photo_1690550983407.jpg</t>
  </si>
  <si>
    <t>https://imapinvasives.natureserve.org/imap/services/page/Presence/1343040.html</t>
  </si>
  <si>
    <t>http://imap3images.s3-website-us-east-1.amazonaws.com/1358576/p/imap_app_photo_1690550954847.jpg</t>
  </si>
  <si>
    <t>https://imapinvasives.natureserve.org/imap/services/page/Presence/1343033.html</t>
  </si>
  <si>
    <t>http://imap3images.s3-website-us-east-1.amazonaws.com/1358569/p/imap_app_photo_1690550915033.jpg</t>
  </si>
  <si>
    <t>https://imapinvasives.natureserve.org/imap/services/page/Presence/1342934.html</t>
  </si>
  <si>
    <t>http://imap3images.s3-website-us-east-1.amazonaws.com/1358451/p/imap_app_photo_1690485506366.jpg</t>
  </si>
  <si>
    <t>https://imapinvasives.natureserve.org/imap/services/page/Presence/1342266.html</t>
  </si>
  <si>
    <t>http://imap3images.s3-website-us-east-1.amazonaws.com/1357705/p/Photo_2.jpg</t>
  </si>
  <si>
    <t>https://imapinvasives.natureserve.org/imap/services/page/Presence/1341800.html</t>
  </si>
  <si>
    <t>http://imap3images.s3-website-us-east-1.amazonaws.com/1357200/p/imap_app_photo_1690222582021.jpg</t>
  </si>
  <si>
    <t>https://imapinvasives.natureserve.org/imap/services/page/Presence/1341240.html</t>
  </si>
  <si>
    <t>http://imap3images.s3-website-us-east-1.amazonaws.com/1356488/p/imap_app_photo_1689811980756.jpg</t>
  </si>
  <si>
    <t>https://imapinvasives.natureserve.org/imap/services/page/Presence/1341234.html</t>
  </si>
  <si>
    <t>http://imap3images.s3-website-us-east-1.amazonaws.com/1356482/p/imap_app_photo_1689810915430.jpg</t>
  </si>
  <si>
    <t>https://imapinvasives.natureserve.org/imap/services/page/Presence/1341228.html</t>
  </si>
  <si>
    <t>http://imap3images.s3-website-us-east-1.amazonaws.com/1356476/p/imap_app_photo_1689810883120.jpg</t>
  </si>
  <si>
    <t>https://imapinvasives.natureserve.org/imap/services/page/Presence/1340771.html</t>
  </si>
  <si>
    <t>http://imap3images.s3-website-us-east-1.amazonaws.com/1355943/p/Plantum_1689544324409.jpg</t>
  </si>
  <si>
    <t>https://imapinvasives.natureserve.org/imap/services/page/Presence/1339638.html</t>
  </si>
  <si>
    <t>http://imap3images.s3-website-us-east-1.amazonaws.com/1354655/p/imap_app_photo_1689006989907.jpg</t>
  </si>
  <si>
    <t>https://imapinvasives.natureserve.org/imap/services/page/Presence/1338540.html</t>
  </si>
  <si>
    <t>http://imap3images.s3-website-us-east-1.amazonaws.com/1353338/p/imap_app_photo_1688501459145.jpg</t>
  </si>
  <si>
    <t>https://imapinvasives.natureserve.org/imap/services/page/Presence/1338539.html</t>
  </si>
  <si>
    <t>http://imap3images.s3-website-us-east-1.amazonaws.com/1353337/p/imap_app_photo_1688501450857.jpg</t>
  </si>
  <si>
    <t>https://imapinvasives.natureserve.org/imap/services/page/Presence/1338512.html</t>
  </si>
  <si>
    <t>http://imap3images.s3-website-us-east-1.amazonaws.com/1353307/p/IMG_20230704_081208.jpg</t>
  </si>
  <si>
    <t>https://imapinvasives.natureserve.org/imap/services/page/Presence/1337883.html</t>
  </si>
  <si>
    <t>http://imap3images.s3-website-us-east-1.amazonaws.com/1352547/p/imap_app_photo_1688238619632.jpg</t>
  </si>
  <si>
    <t>https://imapinvasives.natureserve.org/imap/services/page/Presence/1336153.html</t>
  </si>
  <si>
    <t>http://imap3images.s3-website-us-east-1.amazonaws.com/1350526/p/imap_app_photo_1687394936574.jpg</t>
  </si>
  <si>
    <t>https://imapinvasives.natureserve.org/imap/services/page/Presence/1335474.html</t>
  </si>
  <si>
    <t>http://imap3images.s3-website-us-east-1.amazonaws.com/1349779/p/imap_app_photo_1686857067500.jpg</t>
  </si>
  <si>
    <t>https://imapinvasives.natureserve.org/imap/services/page/Presence/1334758.html</t>
  </si>
  <si>
    <t>http://imap3images.s3-website-us-east-1.amazonaws.com/1348943/p/Photo2-20230607-204803.jpg</t>
  </si>
  <si>
    <t>https://www.inaturalist.org/taxa/77616-Lactuca-biennis</t>
  </si>
  <si>
    <t>Lactuca biennis</t>
  </si>
  <si>
    <t>Tall blue lettuce</t>
  </si>
  <si>
    <t>77616</t>
  </si>
  <si>
    <t>https://imapinvasives.natureserve.org/imap/services/page/Presence/1332589.html</t>
  </si>
  <si>
    <t>http://imap3images.s3-website-us-east-1.amazonaws.com/1346517/p/20230531_203237.jpg</t>
  </si>
  <si>
    <t>https://imapinvasives.natureserve.org/imap/services/page/Presence/1332477.html</t>
  </si>
  <si>
    <t>http://imap3images.s3-website-us-east-1.amazonaws.com/1346351/p/Photo1-20230530-171813.jpg</t>
  </si>
  <si>
    <t>https://imapinvasives.natureserve.org/imap/services/page/Presence/1332388.html</t>
  </si>
  <si>
    <t>http://imap3images.s3-website-us-east-1.amazonaws.com/1346151/p/imap_app_photo_1685473075591.jpg</t>
  </si>
  <si>
    <t>https://imapinvasives.natureserve.org/imap/services/page/Presence/1328317.html</t>
  </si>
  <si>
    <t>http://imap3images.s3-website-us-east-1.amazonaws.com/1341473/p/imap_app_photo_1683569279211.jpg</t>
  </si>
  <si>
    <t>https://imapinvasives.natureserve.org/imap/services/page/Presence/1306906.html</t>
  </si>
  <si>
    <t>http://imap3images.s3-website-us-east-1.amazonaws.com/1317380/p/Photo_1.jpg</t>
  </si>
  <si>
    <t>https://imapinvasives.natureserve.org/imap/services/page/Presence/1305891.html</t>
  </si>
  <si>
    <t>http://imap3images.s3-website-us-east-1.amazonaws.com/1316317/p/IMG_0517.JPG</t>
  </si>
  <si>
    <t>https://imapinvasives.natureserve.org/imap/services/page/Presence/1305890.html</t>
  </si>
  <si>
    <t>http://imap3images.s3-website-us-east-1.amazonaws.com/1316316/p/IMG_0517.JPG</t>
  </si>
  <si>
    <t>https://imapinvasives.natureserve.org/imap/services/page/Presence/1305889.html</t>
  </si>
  <si>
    <t>http://imap3images.s3-website-us-east-1.amazonaws.com/1316315/p/IMG_0517.JPG</t>
  </si>
  <si>
    <t>https://imapinvasives.natureserve.org/imap/services/page/Presence/1299361.html</t>
  </si>
  <si>
    <t>http://imap3images.s3-website-us-east-1.amazonaws.com/1309703/p/Photo_1.jpg</t>
  </si>
  <si>
    <t>https://imapinvasives.natureserve.org/imap/services/page/Presence/1298662.html</t>
  </si>
  <si>
    <t>http://imap3images.s3-website-us-east-1.amazonaws.com/1308985/p/imap_app_photo_1665611834803.jpg</t>
  </si>
  <si>
    <t>https://www.inaturalist.org/taxa/118784-Equisetum-variegatum</t>
  </si>
  <si>
    <t>Equisetum variegatum</t>
  </si>
  <si>
    <t>Variegated horsetail</t>
  </si>
  <si>
    <t>118784</t>
  </si>
  <si>
    <t>https://imapinvasives.natureserve.org/imap/services/page/Presence/1298659.html</t>
  </si>
  <si>
    <t>http://imap3images.s3-website-us-east-1.amazonaws.com/1308982/p/imap_app_photo_1665611807270.jpg</t>
  </si>
  <si>
    <t>https://imapinvasives.natureserve.org/imap/services/page/Presence/1298307.html</t>
  </si>
  <si>
    <t>http://imap3images.s3-website-us-east-1.amazonaws.com/1308577/p/imap_app_photo_1664823423507.jpg</t>
  </si>
  <si>
    <t>https://www.inaturalist.org/taxa/56002-Dipsacus-fullonum</t>
  </si>
  <si>
    <t>Dipsacus fullonum</t>
  </si>
  <si>
    <t>Wild teasel</t>
  </si>
  <si>
    <t>56002</t>
  </si>
  <si>
    <t>https://imapinvasives.natureserve.org/imap/services/page/Presence/1298299.html</t>
  </si>
  <si>
    <t>http://imap3images.s3-website-us-east-1.amazonaws.com/1308569/p/imap_app_photo_1664823129955.jpg</t>
  </si>
  <si>
    <t>https://imapinvasives.natureserve.org/imap/services/page/Presence/1298285.html</t>
  </si>
  <si>
    <t>http://imap3images.s3-website-us-east-1.amazonaws.com/1308555/p/imap_app_photo_1664822698837.jpg</t>
  </si>
  <si>
    <t>https://imapinvasives.natureserve.org/imap/services/page/Presence/1297450.html</t>
  </si>
  <si>
    <t>http://imap3images.s3-website-us-east-1.amazonaws.com/1307687/p/imap_app_photo_1664203100789.jpg</t>
  </si>
  <si>
    <t>https://imapinvasives.natureserve.org/imap/services/page/Presence/1297348.html</t>
  </si>
  <si>
    <t>http://imap3images.s3-website-us-east-1.amazonaws.com/1307584/p/imap_app_photo_1664127596728.jpg</t>
  </si>
  <si>
    <t>https://imapinvasives.natureserve.org/imap/services/page/Presence/1297315.html</t>
  </si>
  <si>
    <t>http://imap3images.s3-website-us-east-1.amazonaws.com/1307550/p/imap_app_photo_1664055227358.jpg</t>
  </si>
  <si>
    <t>https://imapinvasives.natureserve.org/imap/services/page/Presence/1297310.html</t>
  </si>
  <si>
    <t>http://imap3images.s3-website-us-east-1.amazonaws.com/1307545/p/imap_app_photo_1664052193459.jpg</t>
  </si>
  <si>
    <t>https://imapinvasives.natureserve.org/imap/services/page/Presence/1289155.html</t>
  </si>
  <si>
    <t>http://imap3images.s3-website-us-east-1.amazonaws.com/1299250/p/imap_app_photo_1661443633771.jpg</t>
  </si>
  <si>
    <t>https://imapinvasives.natureserve.org/imap/services/page/Presence/1289152.html</t>
  </si>
  <si>
    <t>http://imap3images.s3-website-us-east-1.amazonaws.com/1299247/p/imap_app_photo_1661443597495.jpg</t>
  </si>
  <si>
    <t>https://imapinvasives.natureserve.org/imap/services/page/Presence/1287151.html</t>
  </si>
  <si>
    <t>http://imap3images.s3-website-us-east-1.amazonaws.com/1296971/p/imap_app_photo_1660653533908.jpg</t>
  </si>
  <si>
    <t>https://imapinvasives.natureserve.org/imap/services/page/Presence/1286597.html</t>
  </si>
  <si>
    <t>http://imap3images.s3-website-us-east-1.amazonaws.com/1296343/p/Photo_1.jpg</t>
  </si>
  <si>
    <t>https://imapinvasives.natureserve.org/imap/services/page/Presence/1285999.html</t>
  </si>
  <si>
    <t>http://imap3images.s3-website-us-east-1.amazonaws.com/1295722/p/imap_app_photo_1660177552469.jpg</t>
  </si>
  <si>
    <t>https://imapinvasives.natureserve.org/imap/services/page/Presence/1285987.html</t>
  </si>
  <si>
    <t>http://imap3images.s3-website-us-east-1.amazonaws.com/1295710/p/imap_app_photo_1660176172271.jpg</t>
  </si>
  <si>
    <t>https://imapinvasives.natureserve.org/imap/services/page/Presence/1284991.html</t>
  </si>
  <si>
    <t>http://imap3images.s3-website-us-east-1.amazonaws.com/1294571/p/7C1DAA2B-5D27-458D-AB7E-D0D875F9FE35.jpeg</t>
  </si>
  <si>
    <t>https://imapinvasives.natureserve.org/imap/services/page/Presence/1284990.html</t>
  </si>
  <si>
    <t>http://imap3images.s3-website-us-east-1.amazonaws.com/1294570/p/9F0BC363-959A-4A3F-905A-27D8604AC13D.jpeg</t>
  </si>
  <si>
    <t>https://imapinvasives.natureserve.org/imap/services/page/Presence/1284982.html</t>
  </si>
  <si>
    <t>http://imap3images.s3-website-us-east-1.amazonaws.com/1294562/p/imap_app_photo_1659565099442.jpg</t>
  </si>
  <si>
    <t>https://imapinvasives.natureserve.org/imap/services/page/Presence/1284583.html</t>
  </si>
  <si>
    <t>http://imap3images.s3-website-us-east-1.amazonaws.com/1294163/p/imap_app_photo_1659298010691.jpg</t>
  </si>
  <si>
    <t>https://imapinvasives.natureserve.org/imap/services/page/Presence/1284475.html</t>
  </si>
  <si>
    <t>http://imap3images.s3-website-us-east-1.amazonaws.com/1294055/p/imap_app_photo_1659184141779.jpg</t>
  </si>
  <si>
    <t>https://imapinvasives.natureserve.org/imap/services/page/Presence/1283731.html</t>
  </si>
  <si>
    <t>http://imap3images.s3-website-us-east-1.amazonaws.com/1293244/p/imap_app_photo_1658842693241.jpg</t>
  </si>
  <si>
    <t>https://imapinvasives.natureserve.org/imap/services/page/Presence/1283722.html</t>
  </si>
  <si>
    <t>http://imap3images.s3-website-us-east-1.amazonaws.com/1293235/p/imap_app_photo_1658841855476.jpg</t>
  </si>
  <si>
    <t>Verification</t>
  </si>
  <si>
    <t>Photo_quality</t>
  </si>
  <si>
    <t>Notes</t>
  </si>
  <si>
    <t>Both iMap and iNat correct</t>
  </si>
  <si>
    <t>Good photo</t>
  </si>
  <si>
    <t>Bad-Multiple focused species</t>
  </si>
  <si>
    <t>iNat is only correct</t>
  </si>
  <si>
    <t>iMap is only correct</t>
  </si>
  <si>
    <t>Bad-Focused Different Species</t>
  </si>
  <si>
    <t>Bad-Dried Stems</t>
  </si>
  <si>
    <t>Undeterminable</t>
  </si>
  <si>
    <t>Mislabelled species in iMap</t>
  </si>
  <si>
    <t>Bad-limited contrast</t>
  </si>
  <si>
    <t>Bad-Photo taken from long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</si>
</sst>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9"/>
  <sheetViews>
    <sheetView tabSelected="1" topLeftCell="B1" workbookViewId="0">
      <selection activeCell="N146" sqref="N146"/>
    </sheetView>
  </sheetViews>
  <sheetFormatPr defaultRowHeight="14.4" x14ac:dyDescent="0.3"/>
  <cols>
    <col min="8" max="8" width="14.5546875" bestFit="1" customWidth="1"/>
    <col min="9" max="9" width="11.77734375" bestFit="1" customWidth="1"/>
    <col min="13" max="13" width="24.33203125" bestFit="1" customWidth="1"/>
    <col min="14" max="14" width="20.77734375" bestFit="1" customWidth="1"/>
    <col min="15" max="15" width="10.109375" bestFit="1" customWidth="1"/>
    <col min="16" max="16" width="9.6640625" bestFit="1" customWidth="1"/>
    <col min="17" max="17" width="10.109375" bestFit="1" customWidth="1"/>
    <col min="21" max="21" width="36.77734375" customWidth="1"/>
    <col min="22" max="22" width="30" customWidth="1"/>
    <col min="23" max="23" width="19.77734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357</v>
      </c>
      <c r="V1" s="2" t="s">
        <v>358</v>
      </c>
      <c r="W1" s="2" t="s">
        <v>359</v>
      </c>
    </row>
    <row r="2" spans="1:23" x14ac:dyDescent="0.3">
      <c r="A2">
        <v>1</v>
      </c>
      <c r="B2" t="str">
        <f>HYPERLINK("https://imapinvasives.natureserve.org/imap/services/page/Presence/1499688.html", "View")</f>
        <v>View</v>
      </c>
      <c r="C2" t="s">
        <v>20</v>
      </c>
      <c r="D2">
        <v>1499688</v>
      </c>
      <c r="E2">
        <v>1517845</v>
      </c>
      <c r="F2" t="str">
        <f>HYPERLINK("http://imap3images.s3-website-us-east-1.amazonaws.com/1517845/p/IMG_2875.jpeg", "View")</f>
        <v>View</v>
      </c>
      <c r="G2" t="s">
        <v>21</v>
      </c>
      <c r="H2" t="s">
        <v>22</v>
      </c>
      <c r="I2" t="s">
        <v>23</v>
      </c>
      <c r="J2" t="s">
        <v>24</v>
      </c>
      <c r="K2" t="str">
        <f t="shared" ref="K2:K14" si="0">HYPERLINK("https://www.inaturalist.org/taxa/59778-Pastinaca-sativa", "View")</f>
        <v>View</v>
      </c>
      <c r="L2" t="s">
        <v>25</v>
      </c>
      <c r="M2" t="s">
        <v>22</v>
      </c>
      <c r="N2" t="s">
        <v>26</v>
      </c>
      <c r="O2" t="s">
        <v>24</v>
      </c>
      <c r="P2">
        <v>29.73</v>
      </c>
      <c r="Q2">
        <v>49</v>
      </c>
      <c r="S2">
        <v>1</v>
      </c>
      <c r="U2" t="s">
        <v>360</v>
      </c>
      <c r="V2" t="s">
        <v>361</v>
      </c>
    </row>
    <row r="3" spans="1:23" x14ac:dyDescent="0.3">
      <c r="A3">
        <v>2</v>
      </c>
      <c r="B3" t="str">
        <f>HYPERLINK("https://imapinvasives.natureserve.org/imap/services/page/Presence/1498244.html", "View")</f>
        <v>View</v>
      </c>
      <c r="C3" t="s">
        <v>27</v>
      </c>
      <c r="D3">
        <v>1498244</v>
      </c>
      <c r="E3">
        <v>1516213</v>
      </c>
      <c r="F3" t="str">
        <f>HYPERLINK("http://imap3images.s3-website-us-east-1.amazonaws.com/1516213/p/Photo_1.jpg", "View")</f>
        <v>View</v>
      </c>
      <c r="G3" t="s">
        <v>28</v>
      </c>
      <c r="H3" t="s">
        <v>22</v>
      </c>
      <c r="I3" t="s">
        <v>23</v>
      </c>
      <c r="J3" t="s">
        <v>24</v>
      </c>
      <c r="K3" t="str">
        <f t="shared" si="0"/>
        <v>View</v>
      </c>
      <c r="L3" t="s">
        <v>25</v>
      </c>
      <c r="M3" t="s">
        <v>22</v>
      </c>
      <c r="N3" t="s">
        <v>26</v>
      </c>
      <c r="O3" t="s">
        <v>24</v>
      </c>
      <c r="P3">
        <v>13.87</v>
      </c>
      <c r="Q3">
        <v>99.87</v>
      </c>
      <c r="S3">
        <v>1</v>
      </c>
      <c r="U3" t="s">
        <v>360</v>
      </c>
      <c r="V3" t="s">
        <v>361</v>
      </c>
    </row>
    <row r="4" spans="1:23" x14ac:dyDescent="0.3">
      <c r="A4">
        <v>3</v>
      </c>
      <c r="B4" t="str">
        <f>HYPERLINK("https://imapinvasives.natureserve.org/imap/services/page/Presence/1498237.html", "View")</f>
        <v>View</v>
      </c>
      <c r="C4" t="s">
        <v>29</v>
      </c>
      <c r="D4">
        <v>1498237</v>
      </c>
      <c r="E4">
        <v>1516206</v>
      </c>
      <c r="F4" t="str">
        <f>HYPERLINK("http://imap3images.s3-website-us-east-1.amazonaws.com/1516206/p/Photo_1.jpg", "View")</f>
        <v>View</v>
      </c>
      <c r="G4" t="s">
        <v>30</v>
      </c>
      <c r="H4" t="s">
        <v>22</v>
      </c>
      <c r="I4" t="s">
        <v>23</v>
      </c>
      <c r="J4" t="s">
        <v>24</v>
      </c>
      <c r="K4" t="str">
        <f t="shared" si="0"/>
        <v>View</v>
      </c>
      <c r="L4" t="s">
        <v>25</v>
      </c>
      <c r="M4" t="s">
        <v>22</v>
      </c>
      <c r="N4" t="s">
        <v>26</v>
      </c>
      <c r="O4" t="s">
        <v>24</v>
      </c>
      <c r="P4">
        <v>13.87</v>
      </c>
      <c r="Q4">
        <v>76.48</v>
      </c>
      <c r="S4">
        <v>1</v>
      </c>
      <c r="U4" t="s">
        <v>360</v>
      </c>
      <c r="V4" t="s">
        <v>361</v>
      </c>
    </row>
    <row r="5" spans="1:23" x14ac:dyDescent="0.3">
      <c r="A5">
        <v>4</v>
      </c>
      <c r="B5" t="str">
        <f>HYPERLINK("https://imapinvasives.natureserve.org/imap/services/page/Presence/1497961.html", "View")</f>
        <v>View</v>
      </c>
      <c r="C5" t="s">
        <v>31</v>
      </c>
      <c r="D5">
        <v>1497961</v>
      </c>
      <c r="E5">
        <v>1515900</v>
      </c>
      <c r="F5" t="str">
        <f>HYPERLINK("http://imap3images.s3-website-us-east-1.amazonaws.com/1515900/p/imap_app_photo_1748194387383.jpg", "View")</f>
        <v>View</v>
      </c>
      <c r="G5" t="s">
        <v>32</v>
      </c>
      <c r="H5" t="s">
        <v>22</v>
      </c>
      <c r="I5" t="s">
        <v>23</v>
      </c>
      <c r="J5" t="s">
        <v>24</v>
      </c>
      <c r="K5" t="str">
        <f t="shared" si="0"/>
        <v>View</v>
      </c>
      <c r="L5" t="s">
        <v>25</v>
      </c>
      <c r="M5" t="s">
        <v>22</v>
      </c>
      <c r="N5" t="s">
        <v>26</v>
      </c>
      <c r="O5" t="s">
        <v>24</v>
      </c>
      <c r="P5">
        <v>21.56</v>
      </c>
      <c r="Q5">
        <v>0.48</v>
      </c>
      <c r="S5">
        <v>1</v>
      </c>
      <c r="U5" t="s">
        <v>360</v>
      </c>
      <c r="V5" t="s">
        <v>362</v>
      </c>
    </row>
    <row r="6" spans="1:23" x14ac:dyDescent="0.3">
      <c r="A6">
        <v>5</v>
      </c>
      <c r="B6" t="str">
        <f>HYPERLINK("https://imapinvasives.natureserve.org/imap/services/page/Presence/1496048.html", "View")</f>
        <v>View</v>
      </c>
      <c r="C6" t="s">
        <v>33</v>
      </c>
      <c r="D6">
        <v>1496048</v>
      </c>
      <c r="E6">
        <v>1513638</v>
      </c>
      <c r="F6" t="str">
        <f>HYPERLINK("http://imap3images.s3-website-us-east-1.amazonaws.com/1513638/p/Photo_1.jpg", "View")</f>
        <v>View</v>
      </c>
      <c r="G6" t="s">
        <v>34</v>
      </c>
      <c r="H6" t="s">
        <v>22</v>
      </c>
      <c r="I6" t="s">
        <v>23</v>
      </c>
      <c r="J6" t="s">
        <v>24</v>
      </c>
      <c r="K6" t="str">
        <f t="shared" si="0"/>
        <v>View</v>
      </c>
      <c r="L6" t="s">
        <v>25</v>
      </c>
      <c r="M6" t="s">
        <v>22</v>
      </c>
      <c r="N6" t="s">
        <v>26</v>
      </c>
      <c r="O6" t="s">
        <v>24</v>
      </c>
      <c r="P6">
        <v>33.58</v>
      </c>
      <c r="Q6">
        <v>97.73</v>
      </c>
      <c r="S6">
        <v>1</v>
      </c>
      <c r="U6" t="s">
        <v>360</v>
      </c>
      <c r="V6" t="s">
        <v>361</v>
      </c>
    </row>
    <row r="7" spans="1:23" x14ac:dyDescent="0.3">
      <c r="A7">
        <v>6</v>
      </c>
      <c r="B7" t="str">
        <f>HYPERLINK("https://imapinvasives.natureserve.org/imap/services/page/Presence/1486167.html", "View")</f>
        <v>View</v>
      </c>
      <c r="C7" t="s">
        <v>35</v>
      </c>
      <c r="D7">
        <v>1486167</v>
      </c>
      <c r="E7">
        <v>1503440</v>
      </c>
      <c r="F7" t="str">
        <f>HYPERLINK("http://imap3images.s3-website-us-east-1.amazonaws.com/1503440/p/Photo_1.jpg", "View")</f>
        <v>View</v>
      </c>
      <c r="G7" t="s">
        <v>36</v>
      </c>
      <c r="H7" t="s">
        <v>22</v>
      </c>
      <c r="I7" t="s">
        <v>23</v>
      </c>
      <c r="J7" t="s">
        <v>24</v>
      </c>
      <c r="K7" t="str">
        <f t="shared" si="0"/>
        <v>View</v>
      </c>
      <c r="L7" t="s">
        <v>25</v>
      </c>
      <c r="M7" t="s">
        <v>22</v>
      </c>
      <c r="N7" t="s">
        <v>26</v>
      </c>
      <c r="O7" t="s">
        <v>24</v>
      </c>
      <c r="P7">
        <v>37.39</v>
      </c>
      <c r="Q7">
        <v>99.49</v>
      </c>
      <c r="S7">
        <v>1</v>
      </c>
      <c r="U7" t="s">
        <v>360</v>
      </c>
      <c r="V7" t="s">
        <v>361</v>
      </c>
    </row>
    <row r="8" spans="1:23" x14ac:dyDescent="0.3">
      <c r="A8">
        <v>7</v>
      </c>
      <c r="B8" t="str">
        <f>HYPERLINK("https://imapinvasives.natureserve.org/imap/services/page/Presence/1477034.html", "View")</f>
        <v>View</v>
      </c>
      <c r="C8" t="s">
        <v>37</v>
      </c>
      <c r="D8">
        <v>1477034</v>
      </c>
      <c r="E8">
        <v>1493950</v>
      </c>
      <c r="F8" t="str">
        <f>HYPERLINK("http://imap3images.s3-website-us-east-1.amazonaws.com/1493950/p/Photo_1.jpg", "View")</f>
        <v>View</v>
      </c>
      <c r="G8" t="s">
        <v>38</v>
      </c>
      <c r="H8" t="s">
        <v>22</v>
      </c>
      <c r="I8" t="s">
        <v>23</v>
      </c>
      <c r="J8" t="s">
        <v>24</v>
      </c>
      <c r="K8" t="str">
        <f t="shared" si="0"/>
        <v>View</v>
      </c>
      <c r="L8" t="s">
        <v>25</v>
      </c>
      <c r="M8" t="s">
        <v>22</v>
      </c>
      <c r="N8" t="s">
        <v>26</v>
      </c>
      <c r="O8" t="s">
        <v>24</v>
      </c>
      <c r="P8">
        <v>31.31</v>
      </c>
      <c r="Q8">
        <v>35.65</v>
      </c>
      <c r="S8">
        <v>1</v>
      </c>
      <c r="U8" t="s">
        <v>360</v>
      </c>
      <c r="V8" t="s">
        <v>361</v>
      </c>
    </row>
    <row r="9" spans="1:23" x14ac:dyDescent="0.3">
      <c r="A9">
        <v>8</v>
      </c>
      <c r="B9" t="str">
        <f>HYPERLINK("https://imapinvasives.natureserve.org/imap/services/page/Presence/1477033.html", "View")</f>
        <v>View</v>
      </c>
      <c r="C9" t="s">
        <v>39</v>
      </c>
      <c r="D9">
        <v>1477033</v>
      </c>
      <c r="E9">
        <v>1493935</v>
      </c>
      <c r="F9" t="str">
        <f>HYPERLINK("http://imap3images.s3-website-us-east-1.amazonaws.com/1493935/p/Photo_1.jpg", "View")</f>
        <v>View</v>
      </c>
      <c r="G9" t="s">
        <v>40</v>
      </c>
      <c r="H9" t="s">
        <v>22</v>
      </c>
      <c r="I9" t="s">
        <v>23</v>
      </c>
      <c r="J9" t="s">
        <v>24</v>
      </c>
      <c r="K9" t="str">
        <f t="shared" si="0"/>
        <v>View</v>
      </c>
      <c r="L9" t="s">
        <v>25</v>
      </c>
      <c r="M9" t="s">
        <v>22</v>
      </c>
      <c r="N9" t="s">
        <v>26</v>
      </c>
      <c r="O9" t="s">
        <v>24</v>
      </c>
      <c r="P9">
        <v>31.31</v>
      </c>
      <c r="Q9">
        <v>0.32</v>
      </c>
      <c r="S9">
        <v>1</v>
      </c>
      <c r="U9" t="s">
        <v>360</v>
      </c>
      <c r="V9" t="s">
        <v>362</v>
      </c>
    </row>
    <row r="10" spans="1:23" x14ac:dyDescent="0.3">
      <c r="A10">
        <v>9</v>
      </c>
      <c r="B10" t="str">
        <f>HYPERLINK("https://imapinvasives.natureserve.org/imap/services/page/Presence/1477031.html", "View")</f>
        <v>View</v>
      </c>
      <c r="C10" t="s">
        <v>41</v>
      </c>
      <c r="D10">
        <v>1477031</v>
      </c>
      <c r="E10">
        <v>1493933</v>
      </c>
      <c r="F10" t="str">
        <f>HYPERLINK("http://imap3images.s3-website-us-east-1.amazonaws.com/1493933/p/Photo_1.jpg", "View")</f>
        <v>View</v>
      </c>
      <c r="G10" t="s">
        <v>42</v>
      </c>
      <c r="H10" t="s">
        <v>22</v>
      </c>
      <c r="I10" t="s">
        <v>23</v>
      </c>
      <c r="J10" t="s">
        <v>24</v>
      </c>
      <c r="K10" t="str">
        <f t="shared" si="0"/>
        <v>View</v>
      </c>
      <c r="L10" t="s">
        <v>25</v>
      </c>
      <c r="M10" t="s">
        <v>22</v>
      </c>
      <c r="N10" t="s">
        <v>26</v>
      </c>
      <c r="O10" t="s">
        <v>24</v>
      </c>
      <c r="P10">
        <v>31.31</v>
      </c>
      <c r="Q10">
        <v>96.51</v>
      </c>
      <c r="S10">
        <v>1</v>
      </c>
      <c r="U10" t="s">
        <v>360</v>
      </c>
      <c r="V10" t="s">
        <v>361</v>
      </c>
    </row>
    <row r="11" spans="1:23" x14ac:dyDescent="0.3">
      <c r="A11">
        <v>10</v>
      </c>
      <c r="B11" t="str">
        <f>HYPERLINK("https://imapinvasives.natureserve.org/imap/services/page/Presence/1476787.html", "View")</f>
        <v>View</v>
      </c>
      <c r="C11" t="s">
        <v>43</v>
      </c>
      <c r="D11">
        <v>1476787</v>
      </c>
      <c r="E11">
        <v>1493570</v>
      </c>
      <c r="F11" t="str">
        <f>HYPERLINK("http://imap3images.s3-website-us-east-1.amazonaws.com/1493570/p/attachment2.jpg", "View")</f>
        <v>View</v>
      </c>
      <c r="G11" t="s">
        <v>44</v>
      </c>
      <c r="H11" t="s">
        <v>22</v>
      </c>
      <c r="I11" t="s">
        <v>23</v>
      </c>
      <c r="J11" t="s">
        <v>24</v>
      </c>
      <c r="K11" t="str">
        <f t="shared" si="0"/>
        <v>View</v>
      </c>
      <c r="L11" t="s">
        <v>25</v>
      </c>
      <c r="M11" t="s">
        <v>22</v>
      </c>
      <c r="N11" t="s">
        <v>26</v>
      </c>
      <c r="O11" t="s">
        <v>24</v>
      </c>
      <c r="P11">
        <v>18.350000000000001</v>
      </c>
      <c r="Q11">
        <v>99.74</v>
      </c>
      <c r="S11">
        <v>1</v>
      </c>
      <c r="U11" t="s">
        <v>360</v>
      </c>
      <c r="V11" t="s">
        <v>361</v>
      </c>
    </row>
    <row r="12" spans="1:23" x14ac:dyDescent="0.3">
      <c r="A12">
        <v>11</v>
      </c>
      <c r="B12" t="str">
        <f>HYPERLINK("https://imapinvasives.natureserve.org/imap/services/page/Presence/1476783.html", "View")</f>
        <v>View</v>
      </c>
      <c r="C12" t="s">
        <v>45</v>
      </c>
      <c r="D12">
        <v>1476783</v>
      </c>
      <c r="E12">
        <v>1493562</v>
      </c>
      <c r="F12" t="str">
        <f>HYPERLINK("http://imap3images.s3-website-us-east-1.amazonaws.com/1493562/p/attachment1.jpg", "View")</f>
        <v>View</v>
      </c>
      <c r="G12" t="s">
        <v>46</v>
      </c>
      <c r="H12" t="s">
        <v>22</v>
      </c>
      <c r="I12" t="s">
        <v>23</v>
      </c>
      <c r="J12" t="s">
        <v>24</v>
      </c>
      <c r="K12" t="str">
        <f t="shared" si="0"/>
        <v>View</v>
      </c>
      <c r="L12" t="s">
        <v>25</v>
      </c>
      <c r="M12" t="s">
        <v>22</v>
      </c>
      <c r="N12" t="s">
        <v>26</v>
      </c>
      <c r="O12" t="s">
        <v>24</v>
      </c>
      <c r="P12">
        <v>18.350000000000001</v>
      </c>
      <c r="Q12">
        <v>96.55</v>
      </c>
      <c r="S12">
        <v>1</v>
      </c>
      <c r="U12" t="s">
        <v>360</v>
      </c>
      <c r="V12" t="s">
        <v>361</v>
      </c>
    </row>
    <row r="13" spans="1:23" x14ac:dyDescent="0.3">
      <c r="A13">
        <v>12</v>
      </c>
      <c r="B13" t="str">
        <f>HYPERLINK("https://imapinvasives.natureserve.org/imap/services/page/Presence/1476781.html", "View")</f>
        <v>View</v>
      </c>
      <c r="C13" t="s">
        <v>47</v>
      </c>
      <c r="D13">
        <v>1476781</v>
      </c>
      <c r="E13">
        <v>1493556</v>
      </c>
      <c r="F13" t="str">
        <f>HYPERLINK("http://imap3images.s3-website-us-east-1.amazonaws.com/1493556/p/attachment1.jpg", "View")</f>
        <v>View</v>
      </c>
      <c r="G13" t="s">
        <v>48</v>
      </c>
      <c r="H13" t="s">
        <v>22</v>
      </c>
      <c r="I13" t="s">
        <v>23</v>
      </c>
      <c r="J13" t="s">
        <v>24</v>
      </c>
      <c r="K13" t="str">
        <f t="shared" si="0"/>
        <v>View</v>
      </c>
      <c r="L13" t="s">
        <v>25</v>
      </c>
      <c r="M13" t="s">
        <v>22</v>
      </c>
      <c r="N13" t="s">
        <v>26</v>
      </c>
      <c r="O13" t="s">
        <v>24</v>
      </c>
      <c r="P13">
        <v>18.350000000000001</v>
      </c>
      <c r="Q13">
        <v>98.73</v>
      </c>
      <c r="S13">
        <v>1</v>
      </c>
      <c r="U13" t="s">
        <v>360</v>
      </c>
      <c r="V13" t="s">
        <v>361</v>
      </c>
    </row>
    <row r="14" spans="1:23" x14ac:dyDescent="0.3">
      <c r="A14">
        <v>13</v>
      </c>
      <c r="B14" t="str">
        <f>HYPERLINK("https://imapinvasives.natureserve.org/imap/services/page/Presence/1476776.html", "View")</f>
        <v>View</v>
      </c>
      <c r="C14" t="s">
        <v>49</v>
      </c>
      <c r="D14">
        <v>1476776</v>
      </c>
      <c r="E14">
        <v>1493550</v>
      </c>
      <c r="F14" t="str">
        <f>HYPERLINK("http://imap3images.s3-website-us-east-1.amazonaws.com/1493550/p/attachment1.jpg", "View")</f>
        <v>View</v>
      </c>
      <c r="G14" t="s">
        <v>50</v>
      </c>
      <c r="H14" t="s">
        <v>22</v>
      </c>
      <c r="I14" t="s">
        <v>23</v>
      </c>
      <c r="J14" t="s">
        <v>24</v>
      </c>
      <c r="K14" t="str">
        <f t="shared" si="0"/>
        <v>View</v>
      </c>
      <c r="L14" t="s">
        <v>25</v>
      </c>
      <c r="M14" t="s">
        <v>22</v>
      </c>
      <c r="N14" t="s">
        <v>26</v>
      </c>
      <c r="O14" t="s">
        <v>24</v>
      </c>
      <c r="P14">
        <v>18.350000000000001</v>
      </c>
      <c r="Q14">
        <v>99.91</v>
      </c>
      <c r="S14">
        <v>1</v>
      </c>
      <c r="U14" t="s">
        <v>360</v>
      </c>
      <c r="V14" t="s">
        <v>361</v>
      </c>
    </row>
    <row r="15" spans="1:23" x14ac:dyDescent="0.3">
      <c r="A15">
        <v>14</v>
      </c>
      <c r="B15" t="str">
        <f>HYPERLINK("https://imapinvasives.natureserve.org/imap/services/page/Presence/1476745.html", "View")</f>
        <v>View</v>
      </c>
      <c r="C15" t="s">
        <v>51</v>
      </c>
      <c r="D15">
        <v>1476745</v>
      </c>
      <c r="E15">
        <v>1493519</v>
      </c>
      <c r="F15" t="str">
        <f>HYPERLINK("http://imap3images.s3-website-us-east-1.amazonaws.com/1493519/p/Photo_1.jpg", "View")</f>
        <v>View</v>
      </c>
      <c r="G15" t="s">
        <v>52</v>
      </c>
      <c r="H15" t="s">
        <v>22</v>
      </c>
      <c r="I15" t="s">
        <v>23</v>
      </c>
      <c r="J15" t="s">
        <v>24</v>
      </c>
      <c r="K15" t="str">
        <f>HYPERLINK("https://www.inaturalist.org/taxa/60125-Cicuta-maculata", "View")</f>
        <v>View</v>
      </c>
      <c r="L15" t="s">
        <v>53</v>
      </c>
      <c r="M15" t="s">
        <v>54</v>
      </c>
      <c r="N15" t="s">
        <v>55</v>
      </c>
      <c r="O15" t="s">
        <v>56</v>
      </c>
      <c r="P15">
        <v>10.87</v>
      </c>
      <c r="Q15">
        <v>91.64</v>
      </c>
      <c r="S15">
        <v>0</v>
      </c>
      <c r="U15" t="s">
        <v>364</v>
      </c>
      <c r="V15" t="s">
        <v>365</v>
      </c>
    </row>
    <row r="16" spans="1:23" x14ac:dyDescent="0.3">
      <c r="A16">
        <v>15</v>
      </c>
      <c r="B16" t="str">
        <f>HYPERLINK("https://imapinvasives.natureserve.org/imap/services/page/Presence/1475377.html", "View")</f>
        <v>View</v>
      </c>
      <c r="C16" t="s">
        <v>57</v>
      </c>
      <c r="D16">
        <v>1475377</v>
      </c>
      <c r="E16">
        <v>1491837</v>
      </c>
      <c r="F16" t="str">
        <f>HYPERLINK("http://imap3images.s3-website-us-east-1.amazonaws.com/1491837/p/Photo_1.jpg", "View")</f>
        <v>View</v>
      </c>
      <c r="G16" t="s">
        <v>58</v>
      </c>
      <c r="H16" t="s">
        <v>22</v>
      </c>
      <c r="I16" t="s">
        <v>23</v>
      </c>
      <c r="J16" t="s">
        <v>24</v>
      </c>
      <c r="K16" t="str">
        <f>HYPERLINK("https://www.inaturalist.org/taxa/59778-Pastinaca-sativa", "View")</f>
        <v>View</v>
      </c>
      <c r="L16" t="s">
        <v>25</v>
      </c>
      <c r="M16" t="s">
        <v>22</v>
      </c>
      <c r="N16" t="s">
        <v>26</v>
      </c>
      <c r="O16" t="s">
        <v>24</v>
      </c>
      <c r="P16">
        <v>36.119999999999997</v>
      </c>
      <c r="Q16">
        <v>87.23</v>
      </c>
      <c r="S16">
        <v>1</v>
      </c>
      <c r="U16" t="s">
        <v>360</v>
      </c>
      <c r="V16" t="s">
        <v>366</v>
      </c>
    </row>
    <row r="17" spans="1:22" x14ac:dyDescent="0.3">
      <c r="A17">
        <v>16</v>
      </c>
      <c r="B17" t="str">
        <f>HYPERLINK("https://imapinvasives.natureserve.org/imap/services/page/Presence/1475371.html", "View")</f>
        <v>View</v>
      </c>
      <c r="C17" t="s">
        <v>59</v>
      </c>
      <c r="D17">
        <v>1475371</v>
      </c>
      <c r="E17">
        <v>1491831</v>
      </c>
      <c r="F17" t="str">
        <f>HYPERLINK("http://imap3images.s3-website-us-east-1.amazonaws.com/1491831/p/Photo_1.jpg", "View")</f>
        <v>View</v>
      </c>
      <c r="G17" t="s">
        <v>60</v>
      </c>
      <c r="H17" t="s">
        <v>22</v>
      </c>
      <c r="I17" t="s">
        <v>23</v>
      </c>
      <c r="J17" t="s">
        <v>24</v>
      </c>
      <c r="K17" t="str">
        <f>HYPERLINK("https://www.inaturalist.org/taxa/59778-Pastinaca-sativa", "View")</f>
        <v>View</v>
      </c>
      <c r="L17" t="s">
        <v>25</v>
      </c>
      <c r="M17" t="s">
        <v>22</v>
      </c>
      <c r="N17" t="s">
        <v>26</v>
      </c>
      <c r="O17" t="s">
        <v>24</v>
      </c>
      <c r="P17">
        <v>36.119999999999997</v>
      </c>
      <c r="Q17">
        <v>99.09</v>
      </c>
      <c r="S17">
        <v>1</v>
      </c>
      <c r="U17" t="s">
        <v>360</v>
      </c>
      <c r="V17" t="s">
        <v>361</v>
      </c>
    </row>
    <row r="18" spans="1:22" x14ac:dyDescent="0.3">
      <c r="A18">
        <v>17</v>
      </c>
      <c r="B18" t="str">
        <f>HYPERLINK("https://imapinvasives.natureserve.org/imap/services/page/Presence/1475220.html", "View")</f>
        <v>View</v>
      </c>
      <c r="C18" t="s">
        <v>61</v>
      </c>
      <c r="D18">
        <v>1475220</v>
      </c>
      <c r="E18">
        <v>1491646</v>
      </c>
      <c r="F18" t="str">
        <f>HYPERLINK("http://imap3images.s3-website-us-east-1.amazonaws.com/1491646/p/Photo_1.jpg", "View")</f>
        <v>View</v>
      </c>
      <c r="G18" t="s">
        <v>62</v>
      </c>
      <c r="H18" t="s">
        <v>22</v>
      </c>
      <c r="I18" t="s">
        <v>23</v>
      </c>
      <c r="J18" t="s">
        <v>24</v>
      </c>
      <c r="K18" t="str">
        <f>HYPERLINK("https://www.inaturalist.org/taxa/59778-Pastinaca-sativa", "View")</f>
        <v>View</v>
      </c>
      <c r="L18" t="s">
        <v>25</v>
      </c>
      <c r="M18" t="s">
        <v>22</v>
      </c>
      <c r="N18" t="s">
        <v>26</v>
      </c>
      <c r="O18" t="s">
        <v>24</v>
      </c>
      <c r="P18">
        <v>18.350000000000001</v>
      </c>
      <c r="Q18">
        <v>79.36</v>
      </c>
      <c r="S18">
        <v>1</v>
      </c>
      <c r="U18" t="s">
        <v>360</v>
      </c>
      <c r="V18" t="s">
        <v>366</v>
      </c>
    </row>
    <row r="19" spans="1:22" x14ac:dyDescent="0.3">
      <c r="A19">
        <v>18</v>
      </c>
      <c r="B19" t="str">
        <f>HYPERLINK("https://imapinvasives.natureserve.org/imap/services/page/Presence/1475219.html", "View")</f>
        <v>View</v>
      </c>
      <c r="C19" t="s">
        <v>63</v>
      </c>
      <c r="D19">
        <v>1475219</v>
      </c>
      <c r="E19">
        <v>1491641</v>
      </c>
      <c r="F19" t="str">
        <f>HYPERLINK("http://imap3images.s3-website-us-east-1.amazonaws.com/1491641/p/Photo_1.jpg", "View")</f>
        <v>View</v>
      </c>
      <c r="G19" t="s">
        <v>64</v>
      </c>
      <c r="H19" t="s">
        <v>22</v>
      </c>
      <c r="I19" t="s">
        <v>23</v>
      </c>
      <c r="J19" t="s">
        <v>24</v>
      </c>
      <c r="K19" t="str">
        <f>HYPERLINK("https://www.inaturalist.org/taxa/82576-Onoclea-sensibilis", "View")</f>
        <v>View</v>
      </c>
      <c r="L19" t="s">
        <v>65</v>
      </c>
      <c r="M19" t="s">
        <v>66</v>
      </c>
      <c r="N19" t="s">
        <v>67</v>
      </c>
      <c r="O19" t="s">
        <v>68</v>
      </c>
      <c r="P19">
        <v>39.21</v>
      </c>
      <c r="Q19">
        <v>2.96</v>
      </c>
      <c r="S19">
        <v>0</v>
      </c>
      <c r="U19" t="s">
        <v>364</v>
      </c>
      <c r="V19" t="s">
        <v>365</v>
      </c>
    </row>
    <row r="20" spans="1:22" x14ac:dyDescent="0.3">
      <c r="A20">
        <v>19</v>
      </c>
      <c r="B20" t="str">
        <f>HYPERLINK("https://imapinvasives.natureserve.org/imap/services/page/Presence/1475218.html", "View")</f>
        <v>View</v>
      </c>
      <c r="C20" t="s">
        <v>69</v>
      </c>
      <c r="D20">
        <v>1475218</v>
      </c>
      <c r="E20">
        <v>1491635</v>
      </c>
      <c r="F20" t="str">
        <f>HYPERLINK("http://imap3images.s3-website-us-east-1.amazonaws.com/1491635/p/Photo_1.jpg", "View")</f>
        <v>View</v>
      </c>
      <c r="G20" t="s">
        <v>70</v>
      </c>
      <c r="H20" t="s">
        <v>22</v>
      </c>
      <c r="I20" t="s">
        <v>23</v>
      </c>
      <c r="J20" t="s">
        <v>24</v>
      </c>
      <c r="K20" t="str">
        <f>HYPERLINK("https://www.inaturalist.org/taxa/1002684-Osmunda-spectabilis", "View")</f>
        <v>View</v>
      </c>
      <c r="L20" t="s">
        <v>71</v>
      </c>
      <c r="M20" t="s">
        <v>72</v>
      </c>
      <c r="N20" t="s">
        <v>73</v>
      </c>
      <c r="O20" t="s">
        <v>74</v>
      </c>
      <c r="P20">
        <v>21.28</v>
      </c>
      <c r="Q20">
        <v>64.400000000000006</v>
      </c>
      <c r="S20">
        <v>0</v>
      </c>
      <c r="U20" t="s">
        <v>364</v>
      </c>
      <c r="V20" t="s">
        <v>365</v>
      </c>
    </row>
    <row r="21" spans="1:22" x14ac:dyDescent="0.3">
      <c r="A21">
        <v>20</v>
      </c>
      <c r="B21" t="str">
        <f>HYPERLINK("https://imapinvasives.natureserve.org/imap/services/page/Presence/1475203.html", "View")</f>
        <v>View</v>
      </c>
      <c r="C21" t="s">
        <v>75</v>
      </c>
      <c r="D21">
        <v>1475203</v>
      </c>
      <c r="E21">
        <v>1491619</v>
      </c>
      <c r="F21" t="str">
        <f>HYPERLINK("http://imap3images.s3-website-us-east-1.amazonaws.com/1491619/p/Photo_1.jpg", "View")</f>
        <v>View</v>
      </c>
      <c r="G21" t="s">
        <v>76</v>
      </c>
      <c r="H21" t="s">
        <v>22</v>
      </c>
      <c r="I21" t="s">
        <v>23</v>
      </c>
      <c r="J21" t="s">
        <v>24</v>
      </c>
      <c r="K21" t="str">
        <f t="shared" ref="K21:K29" si="1">HYPERLINK("https://www.inaturalist.org/taxa/59778-Pastinaca-sativa", "View")</f>
        <v>View</v>
      </c>
      <c r="L21" t="s">
        <v>25</v>
      </c>
      <c r="M21" t="s">
        <v>22</v>
      </c>
      <c r="N21" t="s">
        <v>26</v>
      </c>
      <c r="O21" t="s">
        <v>24</v>
      </c>
      <c r="P21">
        <v>48.51</v>
      </c>
      <c r="Q21">
        <v>1.1499999999999999</v>
      </c>
      <c r="S21">
        <v>1</v>
      </c>
      <c r="U21" t="s">
        <v>360</v>
      </c>
      <c r="V21" t="s">
        <v>362</v>
      </c>
    </row>
    <row r="22" spans="1:22" x14ac:dyDescent="0.3">
      <c r="A22">
        <v>21</v>
      </c>
      <c r="B22" t="str">
        <f>HYPERLINK("https://imapinvasives.natureserve.org/imap/services/page/Presence/1475194.html", "View")</f>
        <v>View</v>
      </c>
      <c r="C22" t="s">
        <v>77</v>
      </c>
      <c r="D22">
        <v>1475194</v>
      </c>
      <c r="E22">
        <v>1491608</v>
      </c>
      <c r="F22" t="str">
        <f>HYPERLINK("http://imap3images.s3-website-us-east-1.amazonaws.com/1491608/p/attachment1.jpg", "View")</f>
        <v>View</v>
      </c>
      <c r="G22" t="s">
        <v>78</v>
      </c>
      <c r="H22" t="s">
        <v>22</v>
      </c>
      <c r="I22" t="s">
        <v>23</v>
      </c>
      <c r="J22" t="s">
        <v>24</v>
      </c>
      <c r="K22" t="str">
        <f t="shared" si="1"/>
        <v>View</v>
      </c>
      <c r="L22" t="s">
        <v>25</v>
      </c>
      <c r="M22" t="s">
        <v>22</v>
      </c>
      <c r="N22" t="s">
        <v>26</v>
      </c>
      <c r="O22" t="s">
        <v>24</v>
      </c>
      <c r="P22">
        <v>36.119999999999997</v>
      </c>
      <c r="Q22">
        <v>90.91</v>
      </c>
      <c r="S22">
        <v>1</v>
      </c>
      <c r="U22" t="s">
        <v>360</v>
      </c>
      <c r="V22" t="s">
        <v>361</v>
      </c>
    </row>
    <row r="23" spans="1:22" x14ac:dyDescent="0.3">
      <c r="A23">
        <v>22</v>
      </c>
      <c r="B23" t="str">
        <f>HYPERLINK("https://imapinvasives.natureserve.org/imap/services/page/Presence/1475184.html", "View")</f>
        <v>View</v>
      </c>
      <c r="C23" t="s">
        <v>79</v>
      </c>
      <c r="D23">
        <v>1475184</v>
      </c>
      <c r="E23">
        <v>1491595</v>
      </c>
      <c r="F23" t="str">
        <f>HYPERLINK("http://imap3images.s3-website-us-east-1.amazonaws.com/1491595/p/Photo_1.jpg", "View")</f>
        <v>View</v>
      </c>
      <c r="G23" t="s">
        <v>80</v>
      </c>
      <c r="H23" t="s">
        <v>22</v>
      </c>
      <c r="I23" t="s">
        <v>23</v>
      </c>
      <c r="J23" t="s">
        <v>24</v>
      </c>
      <c r="K23" t="str">
        <f t="shared" si="1"/>
        <v>View</v>
      </c>
      <c r="L23" t="s">
        <v>25</v>
      </c>
      <c r="M23" t="s">
        <v>22</v>
      </c>
      <c r="N23" t="s">
        <v>26</v>
      </c>
      <c r="O23" t="s">
        <v>24</v>
      </c>
      <c r="P23">
        <v>38.1</v>
      </c>
      <c r="Q23">
        <v>87</v>
      </c>
      <c r="S23">
        <v>1</v>
      </c>
      <c r="U23" t="s">
        <v>360</v>
      </c>
      <c r="V23" t="s">
        <v>361</v>
      </c>
    </row>
    <row r="24" spans="1:22" x14ac:dyDescent="0.3">
      <c r="A24">
        <v>23</v>
      </c>
      <c r="B24" t="str">
        <f>HYPERLINK("https://imapinvasives.natureserve.org/imap/services/page/Presence/1475133.html", "View")</f>
        <v>View</v>
      </c>
      <c r="C24" t="s">
        <v>81</v>
      </c>
      <c r="D24">
        <v>1475133</v>
      </c>
      <c r="E24">
        <v>1491536</v>
      </c>
      <c r="F24" t="str">
        <f>HYPERLINK("http://imap3images.s3-website-us-east-1.amazonaws.com/1491536/p/Photo_1.jpg", "View")</f>
        <v>View</v>
      </c>
      <c r="G24" t="s">
        <v>82</v>
      </c>
      <c r="H24" t="s">
        <v>22</v>
      </c>
      <c r="I24" t="s">
        <v>23</v>
      </c>
      <c r="J24" t="s">
        <v>24</v>
      </c>
      <c r="K24" t="str">
        <f t="shared" si="1"/>
        <v>View</v>
      </c>
      <c r="L24" t="s">
        <v>25</v>
      </c>
      <c r="M24" t="s">
        <v>22</v>
      </c>
      <c r="N24" t="s">
        <v>26</v>
      </c>
      <c r="O24" t="s">
        <v>24</v>
      </c>
      <c r="P24">
        <v>36.119999999999997</v>
      </c>
      <c r="Q24">
        <v>98.49</v>
      </c>
      <c r="S24">
        <v>1</v>
      </c>
      <c r="U24" t="s">
        <v>360</v>
      </c>
      <c r="V24" t="s">
        <v>361</v>
      </c>
    </row>
    <row r="25" spans="1:22" x14ac:dyDescent="0.3">
      <c r="A25">
        <v>24</v>
      </c>
      <c r="B25" t="str">
        <f>HYPERLINK("https://imapinvasives.natureserve.org/imap/services/page/Presence/1472726.html", "View")</f>
        <v>View</v>
      </c>
      <c r="C25" t="s">
        <v>83</v>
      </c>
      <c r="D25">
        <v>1472726</v>
      </c>
      <c r="E25">
        <v>1488650</v>
      </c>
      <c r="F25" t="str">
        <f>HYPERLINK("http://imap3images.s3-website-us-east-1.amazonaws.com/1488650/p/Photo_1.jpg", "View")</f>
        <v>View</v>
      </c>
      <c r="G25" t="s">
        <v>84</v>
      </c>
      <c r="H25" t="s">
        <v>22</v>
      </c>
      <c r="I25" t="s">
        <v>23</v>
      </c>
      <c r="J25" t="s">
        <v>24</v>
      </c>
      <c r="K25" t="str">
        <f t="shared" si="1"/>
        <v>View</v>
      </c>
      <c r="L25" t="s">
        <v>25</v>
      </c>
      <c r="M25" t="s">
        <v>22</v>
      </c>
      <c r="N25" t="s">
        <v>26</v>
      </c>
      <c r="O25" t="s">
        <v>24</v>
      </c>
      <c r="P25">
        <v>14.3</v>
      </c>
      <c r="Q25">
        <v>89.86</v>
      </c>
      <c r="S25">
        <v>1</v>
      </c>
      <c r="U25" t="s">
        <v>360</v>
      </c>
      <c r="V25" t="s">
        <v>361</v>
      </c>
    </row>
    <row r="26" spans="1:22" x14ac:dyDescent="0.3">
      <c r="A26">
        <v>25</v>
      </c>
      <c r="B26" t="str">
        <f>HYPERLINK("https://imapinvasives.natureserve.org/imap/services/page/Presence/1472725.html", "View")</f>
        <v>View</v>
      </c>
      <c r="C26" t="s">
        <v>85</v>
      </c>
      <c r="D26">
        <v>1472725</v>
      </c>
      <c r="E26">
        <v>1488649</v>
      </c>
      <c r="F26" t="str">
        <f>HYPERLINK("http://imap3images.s3-website-us-east-1.amazonaws.com/1488649/p/Photo_2.jpg", "View")</f>
        <v>View</v>
      </c>
      <c r="G26" t="s">
        <v>86</v>
      </c>
      <c r="H26" t="s">
        <v>22</v>
      </c>
      <c r="I26" t="s">
        <v>23</v>
      </c>
      <c r="J26" t="s">
        <v>24</v>
      </c>
      <c r="K26" t="str">
        <f t="shared" si="1"/>
        <v>View</v>
      </c>
      <c r="L26" t="s">
        <v>25</v>
      </c>
      <c r="M26" t="s">
        <v>22</v>
      </c>
      <c r="N26" t="s">
        <v>26</v>
      </c>
      <c r="O26" t="s">
        <v>24</v>
      </c>
      <c r="P26">
        <v>14.3</v>
      </c>
      <c r="Q26">
        <v>98.08</v>
      </c>
      <c r="S26">
        <v>1</v>
      </c>
      <c r="U26" t="s">
        <v>360</v>
      </c>
      <c r="V26" t="s">
        <v>361</v>
      </c>
    </row>
    <row r="27" spans="1:22" x14ac:dyDescent="0.3">
      <c r="A27">
        <v>26</v>
      </c>
      <c r="B27" t="str">
        <f>HYPERLINK("https://imapinvasives.natureserve.org/imap/services/page/Presence/1472719.html", "View")</f>
        <v>View</v>
      </c>
      <c r="C27" t="s">
        <v>87</v>
      </c>
      <c r="D27">
        <v>1472719</v>
      </c>
      <c r="E27">
        <v>1488641</v>
      </c>
      <c r="F27" t="str">
        <f>HYPERLINK("http://imap3images.s3-website-us-east-1.amazonaws.com/1488641/p/Photo_2.jpg", "View")</f>
        <v>View</v>
      </c>
      <c r="G27" t="s">
        <v>88</v>
      </c>
      <c r="H27" t="s">
        <v>22</v>
      </c>
      <c r="I27" t="s">
        <v>23</v>
      </c>
      <c r="J27" t="s">
        <v>24</v>
      </c>
      <c r="K27" t="str">
        <f t="shared" si="1"/>
        <v>View</v>
      </c>
      <c r="L27" t="s">
        <v>25</v>
      </c>
      <c r="M27" t="s">
        <v>22</v>
      </c>
      <c r="N27" t="s">
        <v>26</v>
      </c>
      <c r="O27" t="s">
        <v>24</v>
      </c>
      <c r="P27">
        <v>21.62</v>
      </c>
      <c r="Q27">
        <v>94.66</v>
      </c>
      <c r="S27">
        <v>1</v>
      </c>
      <c r="U27" t="s">
        <v>360</v>
      </c>
      <c r="V27" t="s">
        <v>361</v>
      </c>
    </row>
    <row r="28" spans="1:22" x14ac:dyDescent="0.3">
      <c r="A28">
        <v>27</v>
      </c>
      <c r="B28" t="str">
        <f>HYPERLINK("https://imapinvasives.natureserve.org/imap/services/page/Presence/1472488.html", "View")</f>
        <v>View</v>
      </c>
      <c r="C28" t="s">
        <v>89</v>
      </c>
      <c r="D28">
        <v>1472488</v>
      </c>
      <c r="E28">
        <v>1488363</v>
      </c>
      <c r="F28" t="str">
        <f>HYPERLINK("http://imap3images.s3-website-us-east-1.amazonaws.com/1488363/p/Photo_1.jpg", "View")</f>
        <v>View</v>
      </c>
      <c r="G28" t="s">
        <v>90</v>
      </c>
      <c r="H28" t="s">
        <v>22</v>
      </c>
      <c r="I28" t="s">
        <v>23</v>
      </c>
      <c r="J28" t="s">
        <v>24</v>
      </c>
      <c r="K28" t="str">
        <f t="shared" si="1"/>
        <v>View</v>
      </c>
      <c r="L28" t="s">
        <v>25</v>
      </c>
      <c r="M28" t="s">
        <v>22</v>
      </c>
      <c r="N28" t="s">
        <v>26</v>
      </c>
      <c r="O28" t="s">
        <v>24</v>
      </c>
      <c r="P28">
        <v>21.62</v>
      </c>
      <c r="Q28">
        <v>38.630000000000003</v>
      </c>
      <c r="S28">
        <v>1</v>
      </c>
      <c r="U28" t="s">
        <v>360</v>
      </c>
      <c r="V28" t="s">
        <v>361</v>
      </c>
    </row>
    <row r="29" spans="1:22" x14ac:dyDescent="0.3">
      <c r="A29">
        <v>29</v>
      </c>
      <c r="B29" t="str">
        <f>HYPERLINK("https://imapinvasives.natureserve.org/imap/services/page/Presence/1472487.html", "View")</f>
        <v>View</v>
      </c>
      <c r="C29" t="s">
        <v>91</v>
      </c>
      <c r="D29">
        <v>1472487</v>
      </c>
      <c r="E29">
        <v>1488362</v>
      </c>
      <c r="F29" t="str">
        <f>HYPERLINK("http://imap3images.s3-website-us-east-1.amazonaws.com/1488362/p/Photo_1.jpg", "View")</f>
        <v>View</v>
      </c>
      <c r="G29" t="s">
        <v>92</v>
      </c>
      <c r="H29" t="s">
        <v>22</v>
      </c>
      <c r="I29" t="s">
        <v>23</v>
      </c>
      <c r="J29" t="s">
        <v>24</v>
      </c>
      <c r="K29" t="str">
        <f t="shared" si="1"/>
        <v>View</v>
      </c>
      <c r="L29" t="s">
        <v>25</v>
      </c>
      <c r="M29" t="s">
        <v>22</v>
      </c>
      <c r="N29" t="s">
        <v>26</v>
      </c>
      <c r="O29" t="s">
        <v>24</v>
      </c>
      <c r="P29">
        <v>21.62</v>
      </c>
      <c r="Q29">
        <v>97.91</v>
      </c>
      <c r="S29">
        <v>1</v>
      </c>
      <c r="U29" t="s">
        <v>360</v>
      </c>
      <c r="V29" t="s">
        <v>361</v>
      </c>
    </row>
    <row r="30" spans="1:22" x14ac:dyDescent="0.3">
      <c r="A30">
        <v>30</v>
      </c>
      <c r="B30" t="str">
        <f>HYPERLINK("https://imapinvasives.natureserve.org/imap/services/page/Presence/1472486.html", "View")</f>
        <v>View</v>
      </c>
      <c r="C30" t="s">
        <v>93</v>
      </c>
      <c r="D30">
        <v>1472486</v>
      </c>
      <c r="E30">
        <v>1488361</v>
      </c>
      <c r="F30" t="str">
        <f>HYPERLINK("http://imap3images.s3-website-us-east-1.amazonaws.com/1488361/p/Photo_2.jpg", "View")</f>
        <v>View</v>
      </c>
      <c r="G30" t="s">
        <v>94</v>
      </c>
      <c r="H30" t="s">
        <v>22</v>
      </c>
      <c r="I30" t="s">
        <v>23</v>
      </c>
      <c r="J30" t="s">
        <v>24</v>
      </c>
      <c r="K30" t="str">
        <f>HYPERLINK("https://www.inaturalist.org/taxa/119936-Vitis-riparia", "View")</f>
        <v>View</v>
      </c>
      <c r="L30" t="s">
        <v>95</v>
      </c>
      <c r="M30" t="s">
        <v>96</v>
      </c>
      <c r="N30" t="s">
        <v>97</v>
      </c>
      <c r="O30" t="s">
        <v>98</v>
      </c>
      <c r="P30">
        <v>10.83</v>
      </c>
      <c r="Q30">
        <v>68.27</v>
      </c>
      <c r="S30">
        <v>0</v>
      </c>
      <c r="U30" t="s">
        <v>367</v>
      </c>
      <c r="V30" t="s">
        <v>365</v>
      </c>
    </row>
    <row r="31" spans="1:22" x14ac:dyDescent="0.3">
      <c r="A31">
        <v>31</v>
      </c>
      <c r="B31" t="str">
        <f>HYPERLINK("https://imapinvasives.natureserve.org/imap/services/page/Presence/1472413.html", "View")</f>
        <v>View</v>
      </c>
      <c r="C31" t="s">
        <v>99</v>
      </c>
      <c r="D31">
        <v>1472413</v>
      </c>
      <c r="E31">
        <v>1488286</v>
      </c>
      <c r="F31" t="str">
        <f>HYPERLINK("http://imap3images.s3-website-us-east-1.amazonaws.com/1488286/p/Photo_1.jpg", "View")</f>
        <v>View</v>
      </c>
      <c r="G31" t="s">
        <v>100</v>
      </c>
      <c r="H31" t="s">
        <v>22</v>
      </c>
      <c r="I31" t="s">
        <v>23</v>
      </c>
      <c r="J31" t="s">
        <v>24</v>
      </c>
      <c r="K31" t="str">
        <f>HYPERLINK("https://www.inaturalist.org/taxa/59778-Pastinaca-sativa", "View")</f>
        <v>View</v>
      </c>
      <c r="L31" t="s">
        <v>25</v>
      </c>
      <c r="M31" t="s">
        <v>22</v>
      </c>
      <c r="N31" t="s">
        <v>26</v>
      </c>
      <c r="O31" t="s">
        <v>24</v>
      </c>
      <c r="P31">
        <v>28.92</v>
      </c>
      <c r="Q31">
        <v>16.82</v>
      </c>
      <c r="S31">
        <v>1</v>
      </c>
      <c r="U31" t="s">
        <v>360</v>
      </c>
      <c r="V31" t="s">
        <v>366</v>
      </c>
    </row>
    <row r="32" spans="1:22" x14ac:dyDescent="0.3">
      <c r="A32">
        <v>32</v>
      </c>
      <c r="B32" t="str">
        <f>HYPERLINK("https://imapinvasives.natureserve.org/imap/services/page/Presence/1468995.html", "View")</f>
        <v>View</v>
      </c>
      <c r="C32" t="s">
        <v>101</v>
      </c>
      <c r="D32">
        <v>1468995</v>
      </c>
      <c r="E32">
        <v>1484444</v>
      </c>
      <c r="F32" t="str">
        <f>HYPERLINK("http://imap3images.s3-website-us-east-1.amazonaws.com/1484444/p/Photo_1.jpg", "View")</f>
        <v>View</v>
      </c>
      <c r="G32" t="s">
        <v>102</v>
      </c>
      <c r="H32" t="s">
        <v>22</v>
      </c>
      <c r="I32" t="s">
        <v>23</v>
      </c>
      <c r="J32" t="s">
        <v>24</v>
      </c>
      <c r="K32" t="str">
        <f>HYPERLINK("https://www.inaturalist.org/taxa/58795-Apocynum-cannabinum", "View")</f>
        <v>View</v>
      </c>
      <c r="L32" t="s">
        <v>103</v>
      </c>
      <c r="M32" t="s">
        <v>104</v>
      </c>
      <c r="N32" t="s">
        <v>105</v>
      </c>
      <c r="O32" t="s">
        <v>106</v>
      </c>
      <c r="P32">
        <v>47.47</v>
      </c>
      <c r="Q32">
        <v>7.2</v>
      </c>
      <c r="S32">
        <v>0</v>
      </c>
      <c r="U32" t="s">
        <v>364</v>
      </c>
      <c r="V32" t="s">
        <v>366</v>
      </c>
    </row>
    <row r="33" spans="1:23" x14ac:dyDescent="0.3">
      <c r="A33">
        <v>33</v>
      </c>
      <c r="B33" t="str">
        <f>HYPERLINK("https://imapinvasives.natureserve.org/imap/services/page/Presence/1468990.html", "View")</f>
        <v>View</v>
      </c>
      <c r="C33" t="s">
        <v>107</v>
      </c>
      <c r="D33">
        <v>1468990</v>
      </c>
      <c r="E33">
        <v>1484434</v>
      </c>
      <c r="F33" t="str">
        <f>HYPERLINK("http://imap3images.s3-website-us-east-1.amazonaws.com/1484434/p/Photo_1.jpg", "View")</f>
        <v>View</v>
      </c>
      <c r="G33" t="s">
        <v>108</v>
      </c>
      <c r="H33" t="s">
        <v>22</v>
      </c>
      <c r="I33" t="s">
        <v>23</v>
      </c>
      <c r="J33" t="s">
        <v>24</v>
      </c>
      <c r="K33" t="str">
        <f>HYPERLINK("https://www.inaturalist.org/taxa/59778-Pastinaca-sativa", "View")</f>
        <v>View</v>
      </c>
      <c r="L33" t="s">
        <v>25</v>
      </c>
      <c r="M33" t="s">
        <v>22</v>
      </c>
      <c r="N33" t="s">
        <v>26</v>
      </c>
      <c r="O33" t="s">
        <v>24</v>
      </c>
      <c r="P33">
        <v>33.58</v>
      </c>
      <c r="Q33">
        <v>91.3</v>
      </c>
      <c r="S33">
        <v>1</v>
      </c>
      <c r="U33" t="s">
        <v>360</v>
      </c>
      <c r="V33" t="s">
        <v>361</v>
      </c>
    </row>
    <row r="34" spans="1:23" x14ac:dyDescent="0.3">
      <c r="A34">
        <v>34</v>
      </c>
      <c r="B34" t="str">
        <f>HYPERLINK("https://imapinvasives.natureserve.org/imap/services/page/Presence/1468988.html", "View")</f>
        <v>View</v>
      </c>
      <c r="C34" t="s">
        <v>109</v>
      </c>
      <c r="D34">
        <v>1468988</v>
      </c>
      <c r="E34">
        <v>1484432</v>
      </c>
      <c r="F34" t="str">
        <f>HYPERLINK("http://imap3images.s3-website-us-east-1.amazonaws.com/1484432/p/Photo_1.jpg", "View")</f>
        <v>View</v>
      </c>
      <c r="G34" t="s">
        <v>110</v>
      </c>
      <c r="H34" t="s">
        <v>22</v>
      </c>
      <c r="I34" t="s">
        <v>23</v>
      </c>
      <c r="J34" t="s">
        <v>24</v>
      </c>
      <c r="K34" t="str">
        <f>HYPERLINK("https://www.inaturalist.org/taxa/59778-Pastinaca-sativa", "View")</f>
        <v>View</v>
      </c>
      <c r="L34" t="s">
        <v>25</v>
      </c>
      <c r="M34" t="s">
        <v>22</v>
      </c>
      <c r="N34" t="s">
        <v>26</v>
      </c>
      <c r="O34" t="s">
        <v>24</v>
      </c>
      <c r="P34">
        <v>33.58</v>
      </c>
      <c r="Q34">
        <v>85.01</v>
      </c>
      <c r="S34">
        <v>1</v>
      </c>
      <c r="U34" t="s">
        <v>360</v>
      </c>
      <c r="V34" t="s">
        <v>361</v>
      </c>
    </row>
    <row r="35" spans="1:23" x14ac:dyDescent="0.3">
      <c r="A35">
        <v>35</v>
      </c>
      <c r="B35" t="str">
        <f>HYPERLINK("https://imapinvasives.natureserve.org/imap/services/page/Presence/1460588.html", "View")</f>
        <v>View</v>
      </c>
      <c r="C35" t="s">
        <v>111</v>
      </c>
      <c r="D35">
        <v>1460588</v>
      </c>
      <c r="E35">
        <v>1475613</v>
      </c>
      <c r="F35" t="str">
        <f>HYPERLINK("http://imap3images.s3-website-us-east-1.amazonaws.com/1475613/p/Photo_1.jpg", "View")</f>
        <v>View</v>
      </c>
      <c r="G35" t="s">
        <v>112</v>
      </c>
      <c r="H35" t="s">
        <v>22</v>
      </c>
      <c r="I35" t="s">
        <v>23</v>
      </c>
      <c r="J35" t="s">
        <v>24</v>
      </c>
      <c r="K35" t="str">
        <f>HYPERLINK("https://www.inaturalist.org/taxa/59778-Pastinaca-sativa", "View")</f>
        <v>View</v>
      </c>
      <c r="L35" t="s">
        <v>25</v>
      </c>
      <c r="M35" t="s">
        <v>22</v>
      </c>
      <c r="N35" t="s">
        <v>26</v>
      </c>
      <c r="O35" t="s">
        <v>24</v>
      </c>
      <c r="P35">
        <v>16.39</v>
      </c>
      <c r="Q35">
        <v>99.89</v>
      </c>
      <c r="S35">
        <v>1</v>
      </c>
      <c r="U35" t="s">
        <v>360</v>
      </c>
      <c r="V35" t="s">
        <v>361</v>
      </c>
    </row>
    <row r="36" spans="1:23" x14ac:dyDescent="0.3">
      <c r="A36">
        <v>36</v>
      </c>
      <c r="B36" t="str">
        <f>HYPERLINK("https://imapinvasives.natureserve.org/imap/services/page/Presence/1459106.html", "View")</f>
        <v>View</v>
      </c>
      <c r="C36" t="s">
        <v>113</v>
      </c>
      <c r="D36">
        <v>1459106</v>
      </c>
      <c r="E36">
        <v>1474101</v>
      </c>
      <c r="F36" t="str">
        <f>HYPERLINK("http://imap3images.s3-website-us-east-1.amazonaws.com/1474101/p/imap_app_photo_1728319312255.jpg", "View")</f>
        <v>View</v>
      </c>
      <c r="G36" t="s">
        <v>114</v>
      </c>
      <c r="H36" t="s">
        <v>22</v>
      </c>
      <c r="I36" t="s">
        <v>23</v>
      </c>
      <c r="J36" t="s">
        <v>24</v>
      </c>
      <c r="K36" t="str">
        <f>HYPERLINK("https://www.inaturalist.org/taxa/59778-Pastinaca-sativa", "View")</f>
        <v>View</v>
      </c>
      <c r="L36" t="s">
        <v>25</v>
      </c>
      <c r="M36" t="s">
        <v>22</v>
      </c>
      <c r="N36" t="s">
        <v>26</v>
      </c>
      <c r="O36" t="s">
        <v>24</v>
      </c>
      <c r="P36">
        <v>21.38</v>
      </c>
      <c r="Q36">
        <v>89.32</v>
      </c>
      <c r="S36">
        <v>1</v>
      </c>
      <c r="U36" t="s">
        <v>360</v>
      </c>
      <c r="V36" t="s">
        <v>361</v>
      </c>
    </row>
    <row r="37" spans="1:23" x14ac:dyDescent="0.3">
      <c r="A37">
        <v>37</v>
      </c>
      <c r="B37" t="str">
        <f>HYPERLINK("https://imapinvasives.natureserve.org/imap/services/page/Presence/1457679.html", "View")</f>
        <v>View</v>
      </c>
      <c r="C37" t="s">
        <v>115</v>
      </c>
      <c r="D37">
        <v>1457679</v>
      </c>
      <c r="E37">
        <v>1472599</v>
      </c>
      <c r="F37" t="str">
        <f>HYPERLINK("http://imap3images.s3-website-us-east-1.amazonaws.com/1472599/p/IMG_6284.png", "View")</f>
        <v>View</v>
      </c>
      <c r="G37" t="s">
        <v>116</v>
      </c>
      <c r="H37" t="s">
        <v>22</v>
      </c>
      <c r="I37" t="s">
        <v>23</v>
      </c>
      <c r="J37" t="s">
        <v>24</v>
      </c>
      <c r="K37" t="str">
        <f>HYPERLINK("https://www.inaturalist.org/taxa/47911-Asclepias-syriaca", "View")</f>
        <v>View</v>
      </c>
      <c r="L37" t="s">
        <v>117</v>
      </c>
      <c r="M37" t="s">
        <v>118</v>
      </c>
      <c r="N37" t="s">
        <v>119</v>
      </c>
      <c r="O37" t="s">
        <v>120</v>
      </c>
      <c r="P37">
        <v>61.11</v>
      </c>
      <c r="Q37">
        <v>91.62</v>
      </c>
      <c r="S37">
        <v>0</v>
      </c>
      <c r="U37" t="s">
        <v>364</v>
      </c>
      <c r="V37" t="s">
        <v>365</v>
      </c>
    </row>
    <row r="38" spans="1:23" x14ac:dyDescent="0.3">
      <c r="A38">
        <v>38</v>
      </c>
      <c r="B38" t="str">
        <f>HYPERLINK("https://imapinvasives.natureserve.org/imap/services/page/Presence/1456210.html", "View")</f>
        <v>View</v>
      </c>
      <c r="C38" t="s">
        <v>121</v>
      </c>
      <c r="D38">
        <v>1456210</v>
      </c>
      <c r="E38">
        <v>1471109</v>
      </c>
      <c r="F38" t="str">
        <f>HYPERLINK("http://imap3images.s3-website-us-east-1.amazonaws.com/1471109/p/imap_app_photo_1727110777598.jpg", "View")</f>
        <v>View</v>
      </c>
      <c r="G38" t="s">
        <v>122</v>
      </c>
      <c r="H38" t="s">
        <v>22</v>
      </c>
      <c r="I38" t="s">
        <v>23</v>
      </c>
      <c r="J38" t="s">
        <v>24</v>
      </c>
      <c r="K38" t="str">
        <f>HYPERLINK("https://www.inaturalist.org/taxa/59778-Pastinaca-sativa", "View")</f>
        <v>View</v>
      </c>
      <c r="L38" t="s">
        <v>25</v>
      </c>
      <c r="M38" t="s">
        <v>22</v>
      </c>
      <c r="N38" t="s">
        <v>26</v>
      </c>
      <c r="O38" t="s">
        <v>24</v>
      </c>
      <c r="P38">
        <v>21.38</v>
      </c>
      <c r="Q38">
        <v>10.66</v>
      </c>
      <c r="S38">
        <v>1</v>
      </c>
      <c r="U38" t="s">
        <v>360</v>
      </c>
      <c r="V38" t="s">
        <v>366</v>
      </c>
    </row>
    <row r="39" spans="1:23" x14ac:dyDescent="0.3">
      <c r="A39">
        <v>39</v>
      </c>
      <c r="B39" t="str">
        <f>HYPERLINK("https://imapinvasives.natureserve.org/imap/services/page/Presence/1456209.html", "View")</f>
        <v>View</v>
      </c>
      <c r="C39" t="s">
        <v>123</v>
      </c>
      <c r="D39">
        <v>1456209</v>
      </c>
      <c r="E39">
        <v>1471108</v>
      </c>
      <c r="F39" t="str">
        <f>HYPERLINK("http://imap3images.s3-website-us-east-1.amazonaws.com/1471108/p/imap_app_photo_1727110771408.jpg", "View")</f>
        <v>View</v>
      </c>
      <c r="G39" t="s">
        <v>124</v>
      </c>
      <c r="H39" t="s">
        <v>22</v>
      </c>
      <c r="I39" t="s">
        <v>23</v>
      </c>
      <c r="J39" t="s">
        <v>24</v>
      </c>
      <c r="K39" t="str">
        <f>HYPERLINK("https://www.inaturalist.org/taxa/59778-Pastinaca-sativa", "View")</f>
        <v>View</v>
      </c>
      <c r="L39" t="s">
        <v>25</v>
      </c>
      <c r="M39" t="s">
        <v>22</v>
      </c>
      <c r="N39" t="s">
        <v>26</v>
      </c>
      <c r="O39" t="s">
        <v>24</v>
      </c>
      <c r="P39">
        <v>21.38</v>
      </c>
      <c r="Q39">
        <v>8.74</v>
      </c>
      <c r="S39">
        <v>1</v>
      </c>
      <c r="U39" t="s">
        <v>360</v>
      </c>
      <c r="V39" t="s">
        <v>366</v>
      </c>
    </row>
    <row r="40" spans="1:23" x14ac:dyDescent="0.3">
      <c r="A40">
        <v>40</v>
      </c>
      <c r="B40" t="str">
        <f>HYPERLINK("https://imapinvasives.natureserve.org/imap/services/page/Presence/1456204.html", "View")</f>
        <v>View</v>
      </c>
      <c r="C40" t="s">
        <v>125</v>
      </c>
      <c r="D40">
        <v>1456204</v>
      </c>
      <c r="E40">
        <v>1471103</v>
      </c>
      <c r="F40" t="str">
        <f>HYPERLINK("http://imap3images.s3-website-us-east-1.amazonaws.com/1471103/p/imap_app_photo_1727109611018.jpg", "View")</f>
        <v>View</v>
      </c>
      <c r="G40" t="s">
        <v>126</v>
      </c>
      <c r="H40" t="s">
        <v>22</v>
      </c>
      <c r="I40" t="s">
        <v>23</v>
      </c>
      <c r="J40" t="s">
        <v>24</v>
      </c>
      <c r="K40" t="str">
        <f>HYPERLINK("https://www.inaturalist.org/taxa/130989-Euthamia-graminifolia", "View")</f>
        <v>View</v>
      </c>
      <c r="L40" t="s">
        <v>127</v>
      </c>
      <c r="M40" t="s">
        <v>128</v>
      </c>
      <c r="N40" t="s">
        <v>129</v>
      </c>
      <c r="O40" t="s">
        <v>130</v>
      </c>
      <c r="P40">
        <v>16.36</v>
      </c>
      <c r="Q40">
        <v>94.35</v>
      </c>
      <c r="S40">
        <v>0</v>
      </c>
      <c r="U40" t="s">
        <v>363</v>
      </c>
      <c r="V40" t="s">
        <v>365</v>
      </c>
      <c r="W40" t="s">
        <v>368</v>
      </c>
    </row>
    <row r="41" spans="1:23" x14ac:dyDescent="0.3">
      <c r="A41">
        <v>41</v>
      </c>
      <c r="B41" t="str">
        <f>HYPERLINK("https://imapinvasives.natureserve.org/imap/services/page/Presence/1456079.html", "View")</f>
        <v>View</v>
      </c>
      <c r="C41" t="s">
        <v>131</v>
      </c>
      <c r="D41">
        <v>1456079</v>
      </c>
      <c r="E41">
        <v>1470978</v>
      </c>
      <c r="F41" t="str">
        <f>HYPERLINK("http://imap3images.s3-website-us-east-1.amazonaws.com/1470978/p/imap_app_photo_1727043195702.jpg", "View")</f>
        <v>View</v>
      </c>
      <c r="G41" t="s">
        <v>132</v>
      </c>
      <c r="H41" t="s">
        <v>22</v>
      </c>
      <c r="I41" t="s">
        <v>23</v>
      </c>
      <c r="J41" t="s">
        <v>24</v>
      </c>
      <c r="K41" t="str">
        <f t="shared" ref="K41:K49" si="2">HYPERLINK("https://www.inaturalist.org/taxa/59778-Pastinaca-sativa", "View")</f>
        <v>View</v>
      </c>
      <c r="L41" t="s">
        <v>25</v>
      </c>
      <c r="M41" t="s">
        <v>22</v>
      </c>
      <c r="N41" t="s">
        <v>26</v>
      </c>
      <c r="O41" t="s">
        <v>24</v>
      </c>
      <c r="P41">
        <v>21.38</v>
      </c>
      <c r="Q41">
        <v>98.79</v>
      </c>
      <c r="S41">
        <v>1</v>
      </c>
      <c r="U41" t="s">
        <v>360</v>
      </c>
      <c r="V41" t="s">
        <v>361</v>
      </c>
    </row>
    <row r="42" spans="1:23" x14ac:dyDescent="0.3">
      <c r="A42">
        <v>42</v>
      </c>
      <c r="B42" t="str">
        <f>HYPERLINK("https://imapinvasives.natureserve.org/imap/services/page/Presence/1456065.html", "View")</f>
        <v>View</v>
      </c>
      <c r="C42" t="s">
        <v>133</v>
      </c>
      <c r="D42">
        <v>1456065</v>
      </c>
      <c r="E42">
        <v>1470964</v>
      </c>
      <c r="F42" t="str">
        <f>HYPERLINK("http://imap3images.s3-website-us-east-1.amazonaws.com/1470964/p/imap_app_photo_1727036106593.jpg", "View")</f>
        <v>View</v>
      </c>
      <c r="G42" t="s">
        <v>134</v>
      </c>
      <c r="H42" t="s">
        <v>22</v>
      </c>
      <c r="I42" t="s">
        <v>23</v>
      </c>
      <c r="J42" t="s">
        <v>24</v>
      </c>
      <c r="K42" t="str">
        <f t="shared" si="2"/>
        <v>View</v>
      </c>
      <c r="L42" t="s">
        <v>25</v>
      </c>
      <c r="M42" t="s">
        <v>22</v>
      </c>
      <c r="N42" t="s">
        <v>26</v>
      </c>
      <c r="O42" t="s">
        <v>24</v>
      </c>
      <c r="P42">
        <v>21.38</v>
      </c>
      <c r="Q42">
        <v>97.16</v>
      </c>
      <c r="S42">
        <v>1</v>
      </c>
      <c r="U42" t="s">
        <v>360</v>
      </c>
      <c r="V42" t="s">
        <v>361</v>
      </c>
    </row>
    <row r="43" spans="1:23" x14ac:dyDescent="0.3">
      <c r="A43">
        <v>43</v>
      </c>
      <c r="B43" t="str">
        <f>HYPERLINK("https://imapinvasives.natureserve.org/imap/services/page/Presence/1456030.html", "View")</f>
        <v>View</v>
      </c>
      <c r="C43" t="s">
        <v>135</v>
      </c>
      <c r="D43">
        <v>1456030</v>
      </c>
      <c r="E43">
        <v>1470929</v>
      </c>
      <c r="F43" t="str">
        <f>HYPERLINK("http://imap3images.s3-website-us-east-1.amazonaws.com/1470929/p/imap_app_photo_1727014683244.jpg", "View")</f>
        <v>View</v>
      </c>
      <c r="G43" t="s">
        <v>136</v>
      </c>
      <c r="H43" t="s">
        <v>22</v>
      </c>
      <c r="I43" t="s">
        <v>23</v>
      </c>
      <c r="J43" t="s">
        <v>24</v>
      </c>
      <c r="K43" t="str">
        <f t="shared" si="2"/>
        <v>View</v>
      </c>
      <c r="L43" t="s">
        <v>25</v>
      </c>
      <c r="M43" t="s">
        <v>22</v>
      </c>
      <c r="N43" t="s">
        <v>26</v>
      </c>
      <c r="O43" t="s">
        <v>24</v>
      </c>
      <c r="P43">
        <v>21.38</v>
      </c>
      <c r="Q43">
        <v>99.58</v>
      </c>
      <c r="S43">
        <v>1</v>
      </c>
      <c r="U43" t="s">
        <v>360</v>
      </c>
      <c r="V43" t="s">
        <v>361</v>
      </c>
    </row>
    <row r="44" spans="1:23" x14ac:dyDescent="0.3">
      <c r="A44">
        <v>44</v>
      </c>
      <c r="B44" t="str">
        <f>HYPERLINK("https://imapinvasives.natureserve.org/imap/services/page/Presence/1456025.html", "View")</f>
        <v>View</v>
      </c>
      <c r="C44" t="s">
        <v>137</v>
      </c>
      <c r="D44">
        <v>1456025</v>
      </c>
      <c r="E44">
        <v>1470924</v>
      </c>
      <c r="F44" s="3" t="str">
        <f>HYPERLINK("http://imap3images.s3-website-us-east-1.amazonaws.com/1470924/p/imap_app_photo_1727001860724.jpg", "View")</f>
        <v>View</v>
      </c>
      <c r="G44" t="s">
        <v>138</v>
      </c>
      <c r="H44" t="s">
        <v>22</v>
      </c>
      <c r="I44" t="s">
        <v>23</v>
      </c>
      <c r="J44" t="s">
        <v>24</v>
      </c>
      <c r="K44" t="str">
        <f t="shared" si="2"/>
        <v>View</v>
      </c>
      <c r="L44" t="s">
        <v>25</v>
      </c>
      <c r="M44" t="s">
        <v>22</v>
      </c>
      <c r="N44" t="s">
        <v>26</v>
      </c>
      <c r="O44" t="s">
        <v>24</v>
      </c>
      <c r="P44">
        <v>21.38</v>
      </c>
      <c r="Q44">
        <v>17.55</v>
      </c>
      <c r="S44">
        <v>1</v>
      </c>
      <c r="U44" t="s">
        <v>360</v>
      </c>
      <c r="V44" t="s">
        <v>366</v>
      </c>
    </row>
    <row r="45" spans="1:23" x14ac:dyDescent="0.3">
      <c r="A45">
        <v>45</v>
      </c>
      <c r="B45" t="str">
        <f>HYPERLINK("https://imapinvasives.natureserve.org/imap/services/page/Presence/1455999.html", "View")</f>
        <v>View</v>
      </c>
      <c r="C45" t="s">
        <v>139</v>
      </c>
      <c r="D45">
        <v>1455999</v>
      </c>
      <c r="E45">
        <v>1470898</v>
      </c>
      <c r="F45" t="str">
        <f>HYPERLINK("http://imap3images.s3-website-us-east-1.amazonaws.com/1470898/p/imap_app_photo_1726936516979.jpg", "View")</f>
        <v>View</v>
      </c>
      <c r="G45" t="s">
        <v>140</v>
      </c>
      <c r="H45" t="s">
        <v>22</v>
      </c>
      <c r="I45" t="s">
        <v>23</v>
      </c>
      <c r="J45" t="s">
        <v>24</v>
      </c>
      <c r="K45" t="str">
        <f t="shared" si="2"/>
        <v>View</v>
      </c>
      <c r="L45" t="s">
        <v>25</v>
      </c>
      <c r="M45" t="s">
        <v>22</v>
      </c>
      <c r="N45" t="s">
        <v>26</v>
      </c>
      <c r="O45" t="s">
        <v>24</v>
      </c>
      <c r="P45">
        <v>21.38</v>
      </c>
      <c r="Q45">
        <v>13.03</v>
      </c>
      <c r="S45">
        <v>1</v>
      </c>
      <c r="U45" t="s">
        <v>360</v>
      </c>
      <c r="V45" t="s">
        <v>366</v>
      </c>
    </row>
    <row r="46" spans="1:23" x14ac:dyDescent="0.3">
      <c r="A46">
        <v>46</v>
      </c>
      <c r="B46" t="str">
        <f>HYPERLINK("https://imapinvasives.natureserve.org/imap/services/page/Presence/1455993.html", "View")</f>
        <v>View</v>
      </c>
      <c r="C46" t="s">
        <v>141</v>
      </c>
      <c r="D46">
        <v>1455993</v>
      </c>
      <c r="E46">
        <v>1470892</v>
      </c>
      <c r="F46" t="str">
        <f>HYPERLINK("http://imap3images.s3-website-us-east-1.amazonaws.com/1470892/p/imap_app_photo_1726933655134.jpg", "View")</f>
        <v>View</v>
      </c>
      <c r="G46" t="s">
        <v>142</v>
      </c>
      <c r="H46" t="s">
        <v>22</v>
      </c>
      <c r="I46" t="s">
        <v>23</v>
      </c>
      <c r="J46" t="s">
        <v>24</v>
      </c>
      <c r="K46" t="str">
        <f t="shared" si="2"/>
        <v>View</v>
      </c>
      <c r="L46" t="s">
        <v>25</v>
      </c>
      <c r="M46" t="s">
        <v>22</v>
      </c>
      <c r="N46" t="s">
        <v>26</v>
      </c>
      <c r="O46" t="s">
        <v>24</v>
      </c>
      <c r="P46">
        <v>21.38</v>
      </c>
      <c r="Q46">
        <v>82.43</v>
      </c>
      <c r="S46">
        <v>1</v>
      </c>
      <c r="U46" t="s">
        <v>360</v>
      </c>
      <c r="V46" t="s">
        <v>361</v>
      </c>
    </row>
    <row r="47" spans="1:23" x14ac:dyDescent="0.3">
      <c r="A47">
        <v>47</v>
      </c>
      <c r="B47" t="str">
        <f>HYPERLINK("https://imapinvasives.natureserve.org/imap/services/page/Presence/1455986.html", "View")</f>
        <v>View</v>
      </c>
      <c r="C47" t="s">
        <v>143</v>
      </c>
      <c r="D47">
        <v>1455986</v>
      </c>
      <c r="E47">
        <v>1470885</v>
      </c>
      <c r="F47" t="str">
        <f>HYPERLINK("http://imap3images.s3-website-us-east-1.amazonaws.com/1470885/p/imap_app_photo_1726933560142.jpg", "View")</f>
        <v>View</v>
      </c>
      <c r="G47" t="s">
        <v>144</v>
      </c>
      <c r="H47" t="s">
        <v>22</v>
      </c>
      <c r="I47" t="s">
        <v>23</v>
      </c>
      <c r="J47" t="s">
        <v>24</v>
      </c>
      <c r="K47" t="str">
        <f t="shared" si="2"/>
        <v>View</v>
      </c>
      <c r="L47" t="s">
        <v>25</v>
      </c>
      <c r="M47" t="s">
        <v>22</v>
      </c>
      <c r="N47" t="s">
        <v>26</v>
      </c>
      <c r="O47" t="s">
        <v>24</v>
      </c>
      <c r="P47">
        <v>21.38</v>
      </c>
      <c r="Q47">
        <v>16.2</v>
      </c>
      <c r="S47">
        <v>1</v>
      </c>
      <c r="U47" t="s">
        <v>360</v>
      </c>
      <c r="V47" t="s">
        <v>366</v>
      </c>
    </row>
    <row r="48" spans="1:23" x14ac:dyDescent="0.3">
      <c r="A48">
        <v>48</v>
      </c>
      <c r="B48" t="str">
        <f>HYPERLINK("https://imapinvasives.natureserve.org/imap/services/page/Presence/1455223.html", "View")</f>
        <v>View</v>
      </c>
      <c r="C48" t="s">
        <v>145</v>
      </c>
      <c r="D48">
        <v>1455223</v>
      </c>
      <c r="E48">
        <v>1470117</v>
      </c>
      <c r="F48" t="str">
        <f>HYPERLINK("http://imap3images.s3-website-us-east-1.amazonaws.com/1470117/p/imap_app_photo_1726843937929.jpg", "View")</f>
        <v>View</v>
      </c>
      <c r="G48" t="s">
        <v>146</v>
      </c>
      <c r="H48" t="s">
        <v>22</v>
      </c>
      <c r="I48" t="s">
        <v>23</v>
      </c>
      <c r="J48" t="s">
        <v>24</v>
      </c>
      <c r="K48" t="str">
        <f t="shared" si="2"/>
        <v>View</v>
      </c>
      <c r="L48" t="s">
        <v>25</v>
      </c>
      <c r="M48" t="s">
        <v>22</v>
      </c>
      <c r="N48" t="s">
        <v>26</v>
      </c>
      <c r="O48" t="s">
        <v>24</v>
      </c>
      <c r="P48">
        <v>21.38</v>
      </c>
      <c r="Q48">
        <v>26.98</v>
      </c>
      <c r="S48">
        <v>1</v>
      </c>
      <c r="U48" t="s">
        <v>360</v>
      </c>
      <c r="V48" t="s">
        <v>366</v>
      </c>
    </row>
    <row r="49" spans="1:22" x14ac:dyDescent="0.3">
      <c r="A49">
        <v>49</v>
      </c>
      <c r="B49" t="str">
        <f>HYPERLINK("https://imapinvasives.natureserve.org/imap/services/page/Presence/1455050.html", "View")</f>
        <v>View</v>
      </c>
      <c r="C49" t="s">
        <v>147</v>
      </c>
      <c r="D49">
        <v>1455050</v>
      </c>
      <c r="E49">
        <v>1469927</v>
      </c>
      <c r="F49" t="str">
        <f>HYPERLINK("http://imap3images.s3-website-us-east-1.amazonaws.com/1469927/p/imap_app_photo_1726754351991.jpg", "View")</f>
        <v>View</v>
      </c>
      <c r="G49" t="s">
        <v>148</v>
      </c>
      <c r="H49" t="s">
        <v>22</v>
      </c>
      <c r="I49" t="s">
        <v>23</v>
      </c>
      <c r="J49" t="s">
        <v>24</v>
      </c>
      <c r="K49" t="str">
        <f t="shared" si="2"/>
        <v>View</v>
      </c>
      <c r="L49" t="s">
        <v>25</v>
      </c>
      <c r="M49" t="s">
        <v>22</v>
      </c>
      <c r="N49" t="s">
        <v>26</v>
      </c>
      <c r="O49" t="s">
        <v>24</v>
      </c>
      <c r="P49">
        <v>21.38</v>
      </c>
      <c r="Q49">
        <v>12.64</v>
      </c>
      <c r="S49">
        <v>1</v>
      </c>
      <c r="U49" t="s">
        <v>360</v>
      </c>
      <c r="V49" t="s">
        <v>366</v>
      </c>
    </row>
    <row r="50" spans="1:22" x14ac:dyDescent="0.3">
      <c r="A50">
        <v>50</v>
      </c>
      <c r="B50" t="str">
        <f>HYPERLINK("https://imapinvasives.natureserve.org/imap/services/page/Presence/1443499.html", "View")</f>
        <v>View</v>
      </c>
      <c r="C50" t="s">
        <v>149</v>
      </c>
      <c r="D50">
        <v>1443499</v>
      </c>
      <c r="E50">
        <v>1458127</v>
      </c>
      <c r="F50" t="str">
        <f>HYPERLINK("http://imap3images.s3-website-us-east-1.amazonaws.com/1458127/p/dying_parsnip_along_trail.jpg", "View")</f>
        <v>View</v>
      </c>
      <c r="G50" t="s">
        <v>150</v>
      </c>
      <c r="H50" t="s">
        <v>22</v>
      </c>
      <c r="I50" t="s">
        <v>23</v>
      </c>
      <c r="J50" t="s">
        <v>24</v>
      </c>
      <c r="K50" t="str">
        <f>HYPERLINK("https://www.inaturalist.org/taxa/362191-Montrichardia-arborescens", "View")</f>
        <v>View</v>
      </c>
      <c r="L50" t="s">
        <v>151</v>
      </c>
      <c r="M50" t="s">
        <v>152</v>
      </c>
      <c r="N50" t="s">
        <v>153</v>
      </c>
      <c r="O50" t="s">
        <v>154</v>
      </c>
      <c r="P50">
        <v>0</v>
      </c>
      <c r="Q50">
        <v>8.7899999999999991</v>
      </c>
      <c r="S50">
        <v>0</v>
      </c>
      <c r="U50" t="s">
        <v>367</v>
      </c>
      <c r="V50" t="s">
        <v>369</v>
      </c>
    </row>
    <row r="51" spans="1:22" x14ac:dyDescent="0.3">
      <c r="A51">
        <v>51</v>
      </c>
      <c r="B51" t="str">
        <f>HYPERLINK("https://imapinvasives.natureserve.org/imap/services/page/Presence/1436719.html", "View")</f>
        <v>View</v>
      </c>
      <c r="C51" t="s">
        <v>155</v>
      </c>
      <c r="D51">
        <v>1436719</v>
      </c>
      <c r="E51">
        <v>1450752</v>
      </c>
      <c r="F51" t="str">
        <f>HYPERLINK("http://imap3images.s3-website-us-east-1.amazonaws.com/1450752/p/image.jpg", "View")</f>
        <v>View</v>
      </c>
      <c r="G51" t="s">
        <v>156</v>
      </c>
      <c r="H51" t="s">
        <v>22</v>
      </c>
      <c r="I51" t="s">
        <v>23</v>
      </c>
      <c r="J51" t="s">
        <v>24</v>
      </c>
      <c r="K51" t="str">
        <f t="shared" ref="K51:K64" si="3">HYPERLINK("https://www.inaturalist.org/taxa/59778-Pastinaca-sativa", "View")</f>
        <v>View</v>
      </c>
      <c r="L51" t="s">
        <v>25</v>
      </c>
      <c r="M51" t="s">
        <v>22</v>
      </c>
      <c r="N51" t="s">
        <v>26</v>
      </c>
      <c r="O51" t="s">
        <v>24</v>
      </c>
      <c r="P51">
        <v>16.39</v>
      </c>
      <c r="Q51">
        <v>13.99</v>
      </c>
      <c r="S51">
        <v>1</v>
      </c>
      <c r="U51" t="s">
        <v>360</v>
      </c>
      <c r="V51" t="s">
        <v>366</v>
      </c>
    </row>
    <row r="52" spans="1:22" x14ac:dyDescent="0.3">
      <c r="A52">
        <v>52</v>
      </c>
      <c r="B52" t="str">
        <f>HYPERLINK("https://imapinvasives.natureserve.org/imap/services/page/Presence/1434917.html", "View")</f>
        <v>View</v>
      </c>
      <c r="C52" t="s">
        <v>157</v>
      </c>
      <c r="D52">
        <v>1434917</v>
      </c>
      <c r="E52">
        <v>1448607</v>
      </c>
      <c r="F52" t="str">
        <f>HYPERLINK("http://imap3images.s3-website-us-east-1.amazonaws.com/1448607/p/IMG_4361.jpg", "View")</f>
        <v>View</v>
      </c>
      <c r="G52" t="s">
        <v>158</v>
      </c>
      <c r="H52" t="s">
        <v>22</v>
      </c>
      <c r="I52" t="s">
        <v>23</v>
      </c>
      <c r="J52" t="s">
        <v>24</v>
      </c>
      <c r="K52" t="str">
        <f t="shared" si="3"/>
        <v>View</v>
      </c>
      <c r="L52" t="s">
        <v>25</v>
      </c>
      <c r="M52" t="s">
        <v>22</v>
      </c>
      <c r="N52" t="s">
        <v>26</v>
      </c>
      <c r="O52" t="s">
        <v>24</v>
      </c>
      <c r="P52">
        <v>23.38</v>
      </c>
      <c r="Q52">
        <v>98.49</v>
      </c>
      <c r="S52">
        <v>1</v>
      </c>
      <c r="U52" t="s">
        <v>360</v>
      </c>
      <c r="V52" t="s">
        <v>361</v>
      </c>
    </row>
    <row r="53" spans="1:22" x14ac:dyDescent="0.3">
      <c r="A53">
        <v>53</v>
      </c>
      <c r="B53" t="str">
        <f>HYPERLINK("https://imapinvasives.natureserve.org/imap/services/page/Presence/1434913.html", "View")</f>
        <v>View</v>
      </c>
      <c r="C53" t="s">
        <v>159</v>
      </c>
      <c r="D53">
        <v>1434913</v>
      </c>
      <c r="E53">
        <v>1448603</v>
      </c>
      <c r="F53" t="str">
        <f>HYPERLINK("http://imap3images.s3-website-us-east-1.amazonaws.com/1448603/p/IMG_6103.JPG", "View")</f>
        <v>View</v>
      </c>
      <c r="G53" t="s">
        <v>160</v>
      </c>
      <c r="H53" t="s">
        <v>22</v>
      </c>
      <c r="I53" t="s">
        <v>23</v>
      </c>
      <c r="J53" t="s">
        <v>24</v>
      </c>
      <c r="K53" t="str">
        <f t="shared" si="3"/>
        <v>View</v>
      </c>
      <c r="L53" t="s">
        <v>25</v>
      </c>
      <c r="M53" t="s">
        <v>22</v>
      </c>
      <c r="N53" t="s">
        <v>26</v>
      </c>
      <c r="O53" t="s">
        <v>24</v>
      </c>
      <c r="P53">
        <v>14.3</v>
      </c>
      <c r="Q53">
        <v>99.92</v>
      </c>
      <c r="S53">
        <v>1</v>
      </c>
      <c r="U53" t="s">
        <v>360</v>
      </c>
      <c r="V53" t="s">
        <v>361</v>
      </c>
    </row>
    <row r="54" spans="1:22" x14ac:dyDescent="0.3">
      <c r="A54">
        <v>54</v>
      </c>
      <c r="B54" t="str">
        <f>HYPERLINK("https://imapinvasives.natureserve.org/imap/services/page/Presence/1434906.html", "View")</f>
        <v>View</v>
      </c>
      <c r="C54" t="s">
        <v>161</v>
      </c>
      <c r="D54">
        <v>1434906</v>
      </c>
      <c r="E54">
        <v>1448596</v>
      </c>
      <c r="F54" t="str">
        <f>HYPERLINK("http://imap3images.s3-website-us-east-1.amazonaws.com/1448596/p/IMG_5302.jpeg", "View")</f>
        <v>View</v>
      </c>
      <c r="G54" t="s">
        <v>162</v>
      </c>
      <c r="H54" t="s">
        <v>22</v>
      </c>
      <c r="I54" t="s">
        <v>23</v>
      </c>
      <c r="J54" t="s">
        <v>24</v>
      </c>
      <c r="K54" t="str">
        <f t="shared" si="3"/>
        <v>View</v>
      </c>
      <c r="L54" t="s">
        <v>25</v>
      </c>
      <c r="M54" t="s">
        <v>22</v>
      </c>
      <c r="N54" t="s">
        <v>26</v>
      </c>
      <c r="O54" t="s">
        <v>24</v>
      </c>
      <c r="P54">
        <v>27.54</v>
      </c>
      <c r="Q54">
        <v>81.209999999999994</v>
      </c>
      <c r="S54">
        <v>1</v>
      </c>
      <c r="U54" t="s">
        <v>360</v>
      </c>
      <c r="V54" t="s">
        <v>361</v>
      </c>
    </row>
    <row r="55" spans="1:22" x14ac:dyDescent="0.3">
      <c r="A55">
        <v>55</v>
      </c>
      <c r="B55" t="str">
        <f>HYPERLINK("https://imapinvasives.natureserve.org/imap/services/page/Presence/1434904.html", "View")</f>
        <v>View</v>
      </c>
      <c r="C55" t="s">
        <v>163</v>
      </c>
      <c r="D55">
        <v>1434904</v>
      </c>
      <c r="E55">
        <v>1448594</v>
      </c>
      <c r="F55" t="str">
        <f>HYPERLINK("http://imap3images.s3-website-us-east-1.amazonaws.com/1448594/p/20240701_150832.jpg", "View")</f>
        <v>View</v>
      </c>
      <c r="G55" t="s">
        <v>164</v>
      </c>
      <c r="H55" t="s">
        <v>22</v>
      </c>
      <c r="I55" t="s">
        <v>23</v>
      </c>
      <c r="J55" t="s">
        <v>24</v>
      </c>
      <c r="K55" t="str">
        <f t="shared" si="3"/>
        <v>View</v>
      </c>
      <c r="L55" t="s">
        <v>25</v>
      </c>
      <c r="M55" t="s">
        <v>22</v>
      </c>
      <c r="N55" t="s">
        <v>26</v>
      </c>
      <c r="O55" t="s">
        <v>24</v>
      </c>
      <c r="P55">
        <v>16.05</v>
      </c>
      <c r="Q55">
        <v>97.94</v>
      </c>
      <c r="S55">
        <v>1</v>
      </c>
      <c r="U55" t="s">
        <v>360</v>
      </c>
      <c r="V55" t="s">
        <v>361</v>
      </c>
    </row>
    <row r="56" spans="1:22" x14ac:dyDescent="0.3">
      <c r="A56">
        <v>56</v>
      </c>
      <c r="B56" t="str">
        <f>HYPERLINK("https://imapinvasives.natureserve.org/imap/services/page/Presence/1434898.html", "View")</f>
        <v>View</v>
      </c>
      <c r="C56" t="s">
        <v>165</v>
      </c>
      <c r="D56">
        <v>1434898</v>
      </c>
      <c r="E56">
        <v>1448588</v>
      </c>
      <c r="F56" t="str">
        <f>HYPERLINK("http://imap3images.s3-website-us-east-1.amazonaws.com/1448588/p/inbound8136430857775598105.jpg", "View")</f>
        <v>View</v>
      </c>
      <c r="G56" t="s">
        <v>166</v>
      </c>
      <c r="H56" t="s">
        <v>22</v>
      </c>
      <c r="I56" t="s">
        <v>23</v>
      </c>
      <c r="J56" t="s">
        <v>24</v>
      </c>
      <c r="K56" t="str">
        <f t="shared" si="3"/>
        <v>View</v>
      </c>
      <c r="L56" t="s">
        <v>25</v>
      </c>
      <c r="M56" t="s">
        <v>22</v>
      </c>
      <c r="N56" t="s">
        <v>26</v>
      </c>
      <c r="O56" t="s">
        <v>24</v>
      </c>
      <c r="P56">
        <v>12.57</v>
      </c>
      <c r="Q56">
        <v>76.75</v>
      </c>
      <c r="S56">
        <v>1</v>
      </c>
      <c r="U56" t="s">
        <v>360</v>
      </c>
      <c r="V56" t="s">
        <v>361</v>
      </c>
    </row>
    <row r="57" spans="1:22" x14ac:dyDescent="0.3">
      <c r="A57">
        <v>57</v>
      </c>
      <c r="B57" t="str">
        <f>HYPERLINK("https://imapinvasives.natureserve.org/imap/services/page/Presence/1434897.html", "View")</f>
        <v>View</v>
      </c>
      <c r="C57" t="s">
        <v>167</v>
      </c>
      <c r="D57">
        <v>1434897</v>
      </c>
      <c r="E57">
        <v>1448587</v>
      </c>
      <c r="F57" t="str">
        <f>HYPERLINK("http://imap3images.s3-website-us-east-1.amazonaws.com/1448587/p/20240624_200043.jpg", "View")</f>
        <v>View</v>
      </c>
      <c r="G57" t="s">
        <v>168</v>
      </c>
      <c r="H57" t="s">
        <v>22</v>
      </c>
      <c r="I57" t="s">
        <v>23</v>
      </c>
      <c r="J57" t="s">
        <v>24</v>
      </c>
      <c r="K57" t="str">
        <f t="shared" si="3"/>
        <v>View</v>
      </c>
      <c r="L57" t="s">
        <v>25</v>
      </c>
      <c r="M57" t="s">
        <v>22</v>
      </c>
      <c r="N57" t="s">
        <v>26</v>
      </c>
      <c r="O57" t="s">
        <v>24</v>
      </c>
      <c r="P57">
        <v>16.55</v>
      </c>
      <c r="Q57">
        <v>99.77</v>
      </c>
      <c r="S57">
        <v>1</v>
      </c>
      <c r="U57" t="s">
        <v>360</v>
      </c>
      <c r="V57" t="s">
        <v>361</v>
      </c>
    </row>
    <row r="58" spans="1:22" x14ac:dyDescent="0.3">
      <c r="A58">
        <v>58</v>
      </c>
      <c r="B58" t="str">
        <f>HYPERLINK("https://imapinvasives.natureserve.org/imap/services/page/Presence/1434895.html", "View")</f>
        <v>View</v>
      </c>
      <c r="C58" t="s">
        <v>169</v>
      </c>
      <c r="D58">
        <v>1434895</v>
      </c>
      <c r="E58">
        <v>1448585</v>
      </c>
      <c r="F58" t="str">
        <f>HYPERLINK("http://imap3images.s3-website-us-east-1.amazonaws.com/1448585/p/1000007168.jpg", "View")</f>
        <v>View</v>
      </c>
      <c r="G58" t="s">
        <v>170</v>
      </c>
      <c r="H58" t="s">
        <v>22</v>
      </c>
      <c r="I58" t="s">
        <v>23</v>
      </c>
      <c r="J58" t="s">
        <v>24</v>
      </c>
      <c r="K58" t="str">
        <f t="shared" si="3"/>
        <v>View</v>
      </c>
      <c r="L58" t="s">
        <v>25</v>
      </c>
      <c r="M58" t="s">
        <v>22</v>
      </c>
      <c r="N58" t="s">
        <v>26</v>
      </c>
      <c r="O58" t="s">
        <v>24</v>
      </c>
      <c r="P58">
        <v>37.61</v>
      </c>
      <c r="Q58">
        <v>99.59</v>
      </c>
      <c r="S58">
        <v>1</v>
      </c>
      <c r="U58" t="s">
        <v>360</v>
      </c>
      <c r="V58" t="s">
        <v>361</v>
      </c>
    </row>
    <row r="59" spans="1:22" x14ac:dyDescent="0.3">
      <c r="A59">
        <v>59</v>
      </c>
      <c r="B59" t="str">
        <f>HYPERLINK("https://imapinvasives.natureserve.org/imap/services/page/Presence/1434846.html", "View")</f>
        <v>View</v>
      </c>
      <c r="C59" t="s">
        <v>171</v>
      </c>
      <c r="D59">
        <v>1434846</v>
      </c>
      <c r="E59">
        <v>1448536</v>
      </c>
      <c r="F59" t="str">
        <f>HYPERLINK("http://imap3images.s3-website-us-east-1.amazonaws.com/1448536/p/1000007530.jpg", "View")</f>
        <v>View</v>
      </c>
      <c r="G59" t="s">
        <v>172</v>
      </c>
      <c r="H59" t="s">
        <v>22</v>
      </c>
      <c r="I59" t="s">
        <v>23</v>
      </c>
      <c r="J59" t="s">
        <v>24</v>
      </c>
      <c r="K59" t="str">
        <f t="shared" si="3"/>
        <v>View</v>
      </c>
      <c r="L59" t="s">
        <v>25</v>
      </c>
      <c r="M59" t="s">
        <v>22</v>
      </c>
      <c r="N59" t="s">
        <v>26</v>
      </c>
      <c r="O59" t="s">
        <v>24</v>
      </c>
      <c r="P59">
        <v>12.87</v>
      </c>
      <c r="Q59">
        <v>99.58</v>
      </c>
      <c r="S59">
        <v>1</v>
      </c>
      <c r="U59" t="s">
        <v>360</v>
      </c>
      <c r="V59" t="s">
        <v>361</v>
      </c>
    </row>
    <row r="60" spans="1:22" x14ac:dyDescent="0.3">
      <c r="A60">
        <v>60</v>
      </c>
      <c r="B60" t="str">
        <f>HYPERLINK("https://imapinvasives.natureserve.org/imap/services/page/Presence/1434845.html", "View")</f>
        <v>View</v>
      </c>
      <c r="C60" t="s">
        <v>173</v>
      </c>
      <c r="D60">
        <v>1434845</v>
      </c>
      <c r="E60">
        <v>1448535</v>
      </c>
      <c r="F60" t="str">
        <f>HYPERLINK("http://imap3images.s3-website-us-east-1.amazonaws.com/1448535/p/IMG_0617.jpeg", "View")</f>
        <v>View</v>
      </c>
      <c r="G60" t="s">
        <v>174</v>
      </c>
      <c r="H60" t="s">
        <v>22</v>
      </c>
      <c r="I60" t="s">
        <v>23</v>
      </c>
      <c r="J60" t="s">
        <v>24</v>
      </c>
      <c r="K60" t="str">
        <f t="shared" si="3"/>
        <v>View</v>
      </c>
      <c r="L60" t="s">
        <v>25</v>
      </c>
      <c r="M60" t="s">
        <v>22</v>
      </c>
      <c r="N60" t="s">
        <v>26</v>
      </c>
      <c r="O60" t="s">
        <v>24</v>
      </c>
      <c r="P60">
        <v>27.83</v>
      </c>
      <c r="Q60">
        <v>99.58</v>
      </c>
      <c r="S60">
        <v>1</v>
      </c>
      <c r="U60" t="s">
        <v>360</v>
      </c>
      <c r="V60" t="s">
        <v>361</v>
      </c>
    </row>
    <row r="61" spans="1:22" x14ac:dyDescent="0.3">
      <c r="A61">
        <v>61</v>
      </c>
      <c r="B61" t="str">
        <f>HYPERLINK("https://imapinvasives.natureserve.org/imap/services/page/Presence/1416989.html", "View")</f>
        <v>View</v>
      </c>
      <c r="C61" t="s">
        <v>175</v>
      </c>
      <c r="D61">
        <v>1416989</v>
      </c>
      <c r="E61">
        <v>1430636</v>
      </c>
      <c r="F61" t="str">
        <f>HYPERLINK("http://imap3images.s3-website-us-east-1.amazonaws.com/1430636/p/1000012600.jpg", "View")</f>
        <v>View</v>
      </c>
      <c r="G61" t="s">
        <v>176</v>
      </c>
      <c r="H61" t="s">
        <v>22</v>
      </c>
      <c r="I61" t="s">
        <v>23</v>
      </c>
      <c r="J61" t="s">
        <v>24</v>
      </c>
      <c r="K61" t="str">
        <f t="shared" si="3"/>
        <v>View</v>
      </c>
      <c r="L61" t="s">
        <v>25</v>
      </c>
      <c r="M61" t="s">
        <v>22</v>
      </c>
      <c r="N61" t="s">
        <v>26</v>
      </c>
      <c r="O61" t="s">
        <v>24</v>
      </c>
      <c r="P61">
        <v>33.58</v>
      </c>
      <c r="Q61">
        <v>98.19</v>
      </c>
      <c r="S61">
        <v>1</v>
      </c>
      <c r="U61" t="s">
        <v>360</v>
      </c>
      <c r="V61" t="s">
        <v>361</v>
      </c>
    </row>
    <row r="62" spans="1:22" x14ac:dyDescent="0.3">
      <c r="A62">
        <v>62</v>
      </c>
      <c r="B62" t="str">
        <f>HYPERLINK("https://imapinvasives.natureserve.org/imap/services/page/Presence/1416724.html", "View")</f>
        <v>View</v>
      </c>
      <c r="C62" t="s">
        <v>177</v>
      </c>
      <c r="D62">
        <v>1416724</v>
      </c>
      <c r="E62">
        <v>1430262</v>
      </c>
      <c r="F62" t="str">
        <f>HYPERLINK("http://imap3images.s3-website-us-east-1.amazonaws.com/1430262/p/IMG_1807.jpeg", "View")</f>
        <v>View</v>
      </c>
      <c r="G62" t="s">
        <v>178</v>
      </c>
      <c r="H62" t="s">
        <v>22</v>
      </c>
      <c r="I62" t="s">
        <v>23</v>
      </c>
      <c r="J62" t="s">
        <v>24</v>
      </c>
      <c r="K62" t="str">
        <f t="shared" si="3"/>
        <v>View</v>
      </c>
      <c r="L62" t="s">
        <v>25</v>
      </c>
      <c r="M62" t="s">
        <v>22</v>
      </c>
      <c r="N62" t="s">
        <v>26</v>
      </c>
      <c r="O62" t="s">
        <v>24</v>
      </c>
      <c r="P62">
        <v>36.119999999999997</v>
      </c>
      <c r="Q62">
        <v>20.81</v>
      </c>
      <c r="S62">
        <v>1</v>
      </c>
      <c r="U62" t="s">
        <v>360</v>
      </c>
      <c r="V62" t="s">
        <v>361</v>
      </c>
    </row>
    <row r="63" spans="1:22" x14ac:dyDescent="0.3">
      <c r="A63">
        <v>63</v>
      </c>
      <c r="B63" t="str">
        <f>HYPERLINK("https://imapinvasives.natureserve.org/imap/services/page/Presence/1416678.html", "View")</f>
        <v>View</v>
      </c>
      <c r="C63" t="s">
        <v>179</v>
      </c>
      <c r="D63">
        <v>1416678</v>
      </c>
      <c r="E63">
        <v>1430215</v>
      </c>
      <c r="F63" t="str">
        <f>HYPERLINK("http://imap3images.s3-website-us-east-1.amazonaws.com/1430215/p/imap_app_photo_1720221743679.jpg", "View")</f>
        <v>View</v>
      </c>
      <c r="G63" t="s">
        <v>180</v>
      </c>
      <c r="H63" t="s">
        <v>22</v>
      </c>
      <c r="I63" t="s">
        <v>23</v>
      </c>
      <c r="J63" t="s">
        <v>24</v>
      </c>
      <c r="K63" t="str">
        <f t="shared" si="3"/>
        <v>View</v>
      </c>
      <c r="L63" t="s">
        <v>25</v>
      </c>
      <c r="M63" t="s">
        <v>22</v>
      </c>
      <c r="N63" t="s">
        <v>26</v>
      </c>
      <c r="O63" t="s">
        <v>24</v>
      </c>
      <c r="P63">
        <v>23.25</v>
      </c>
      <c r="Q63">
        <v>59.02</v>
      </c>
      <c r="S63">
        <v>1</v>
      </c>
      <c r="U63" t="s">
        <v>360</v>
      </c>
      <c r="V63" t="s">
        <v>361</v>
      </c>
    </row>
    <row r="64" spans="1:22" x14ac:dyDescent="0.3">
      <c r="A64">
        <v>64</v>
      </c>
      <c r="B64" t="str">
        <f>HYPERLINK("https://imapinvasives.natureserve.org/imap/services/page/Presence/1416677.html", "View")</f>
        <v>View</v>
      </c>
      <c r="C64" t="s">
        <v>181</v>
      </c>
      <c r="D64">
        <v>1416677</v>
      </c>
      <c r="E64">
        <v>1430214</v>
      </c>
      <c r="F64" t="str">
        <f>HYPERLINK("http://imap3images.s3-website-us-east-1.amazonaws.com/1430214/p/imap_app_photo_1720221090383.jpg", "View")</f>
        <v>View</v>
      </c>
      <c r="G64" t="s">
        <v>182</v>
      </c>
      <c r="H64" t="s">
        <v>22</v>
      </c>
      <c r="I64" t="s">
        <v>23</v>
      </c>
      <c r="J64" t="s">
        <v>24</v>
      </c>
      <c r="K64" t="str">
        <f t="shared" si="3"/>
        <v>View</v>
      </c>
      <c r="L64" t="s">
        <v>25</v>
      </c>
      <c r="M64" t="s">
        <v>22</v>
      </c>
      <c r="N64" t="s">
        <v>26</v>
      </c>
      <c r="O64" t="s">
        <v>24</v>
      </c>
      <c r="P64">
        <v>23.25</v>
      </c>
      <c r="Q64">
        <v>13.56</v>
      </c>
      <c r="S64">
        <v>1</v>
      </c>
      <c r="U64" t="s">
        <v>360</v>
      </c>
      <c r="V64" t="s">
        <v>362</v>
      </c>
    </row>
    <row r="65" spans="1:22" x14ac:dyDescent="0.3">
      <c r="A65">
        <v>66</v>
      </c>
      <c r="B65" t="str">
        <f>HYPERLINK("https://imapinvasives.natureserve.org/imap/services/page/Presence/1413817.html", "View")</f>
        <v>View</v>
      </c>
      <c r="C65" t="s">
        <v>183</v>
      </c>
      <c r="D65">
        <v>1413817</v>
      </c>
      <c r="E65">
        <v>1427316</v>
      </c>
      <c r="F65" t="str">
        <f>HYPERLINK("http://imap3images.s3-website-us-east-1.amazonaws.com/1427316/p/imap_app_photo_1719602060643.jpg", "View")</f>
        <v>View</v>
      </c>
      <c r="G65" t="s">
        <v>184</v>
      </c>
      <c r="H65" t="s">
        <v>22</v>
      </c>
      <c r="I65" t="s">
        <v>23</v>
      </c>
      <c r="J65" t="s">
        <v>24</v>
      </c>
      <c r="K65" t="str">
        <f t="shared" ref="K65:K73" si="4">HYPERLINK("https://www.inaturalist.org/taxa/59778-Pastinaca-sativa", "View")</f>
        <v>View</v>
      </c>
      <c r="L65" t="s">
        <v>25</v>
      </c>
      <c r="M65" t="s">
        <v>22</v>
      </c>
      <c r="N65" t="s">
        <v>26</v>
      </c>
      <c r="O65" t="s">
        <v>24</v>
      </c>
      <c r="P65">
        <v>33.58</v>
      </c>
      <c r="Q65">
        <v>97.49</v>
      </c>
      <c r="S65">
        <v>1</v>
      </c>
      <c r="U65" t="s">
        <v>360</v>
      </c>
      <c r="V65" t="s">
        <v>361</v>
      </c>
    </row>
    <row r="66" spans="1:22" x14ac:dyDescent="0.3">
      <c r="A66">
        <v>67</v>
      </c>
      <c r="B66" t="str">
        <f>HYPERLINK("https://imapinvasives.natureserve.org/imap/services/page/Presence/1413304.html", "View")</f>
        <v>View</v>
      </c>
      <c r="C66" t="s">
        <v>185</v>
      </c>
      <c r="D66">
        <v>1413304</v>
      </c>
      <c r="E66">
        <v>1426484</v>
      </c>
      <c r="F66" t="str">
        <f>HYPERLINK("http://imap3images.s3-website-us-east-1.amazonaws.com/1426484/p/IMG_20240626_075920.jpg", "View")</f>
        <v>View</v>
      </c>
      <c r="G66" t="s">
        <v>186</v>
      </c>
      <c r="H66" t="s">
        <v>22</v>
      </c>
      <c r="I66" t="s">
        <v>23</v>
      </c>
      <c r="J66" t="s">
        <v>24</v>
      </c>
      <c r="K66" t="str">
        <f t="shared" si="4"/>
        <v>View</v>
      </c>
      <c r="L66" t="s">
        <v>25</v>
      </c>
      <c r="M66" t="s">
        <v>22</v>
      </c>
      <c r="N66" t="s">
        <v>26</v>
      </c>
      <c r="O66" t="s">
        <v>24</v>
      </c>
      <c r="P66">
        <v>38.979999999999997</v>
      </c>
      <c r="Q66">
        <v>84.6</v>
      </c>
      <c r="S66">
        <v>1</v>
      </c>
      <c r="U66" t="s">
        <v>360</v>
      </c>
      <c r="V66" t="s">
        <v>361</v>
      </c>
    </row>
    <row r="67" spans="1:22" x14ac:dyDescent="0.3">
      <c r="A67">
        <v>68</v>
      </c>
      <c r="B67" t="str">
        <f>HYPERLINK("https://imapinvasives.natureserve.org/imap/services/page/Presence/1412642.html", "View")</f>
        <v>View</v>
      </c>
      <c r="C67" t="s">
        <v>187</v>
      </c>
      <c r="D67">
        <v>1412642</v>
      </c>
      <c r="E67">
        <v>1425395</v>
      </c>
      <c r="F67" t="str">
        <f>HYPERLINK("http://imap3images.s3-website-us-east-1.amazonaws.com/1425395/p/IMG_4781.jpg", "View")</f>
        <v>View</v>
      </c>
      <c r="G67" t="s">
        <v>188</v>
      </c>
      <c r="H67" t="s">
        <v>22</v>
      </c>
      <c r="I67" t="s">
        <v>23</v>
      </c>
      <c r="J67" t="s">
        <v>24</v>
      </c>
      <c r="K67" t="str">
        <f t="shared" si="4"/>
        <v>View</v>
      </c>
      <c r="L67" t="s">
        <v>25</v>
      </c>
      <c r="M67" t="s">
        <v>22</v>
      </c>
      <c r="N67" t="s">
        <v>26</v>
      </c>
      <c r="O67" t="s">
        <v>24</v>
      </c>
      <c r="P67">
        <v>14.3</v>
      </c>
      <c r="Q67">
        <v>3.35</v>
      </c>
      <c r="S67">
        <v>1</v>
      </c>
      <c r="U67" t="s">
        <v>360</v>
      </c>
      <c r="V67" t="s">
        <v>370</v>
      </c>
    </row>
    <row r="68" spans="1:22" x14ac:dyDescent="0.3">
      <c r="A68">
        <v>69</v>
      </c>
      <c r="B68" t="str">
        <f>HYPERLINK("https://imapinvasives.natureserve.org/imap/services/page/Presence/1412149.html", "View")</f>
        <v>View</v>
      </c>
      <c r="C68" t="s">
        <v>189</v>
      </c>
      <c r="D68">
        <v>1412149</v>
      </c>
      <c r="E68">
        <v>1424845</v>
      </c>
      <c r="F68" t="str">
        <f>HYPERLINK("http://imap3images.s3-website-us-east-1.amazonaws.com/1424845/p/imap_app_photo_1718825391039.jpg", "View")</f>
        <v>View</v>
      </c>
      <c r="G68" t="s">
        <v>190</v>
      </c>
      <c r="H68" t="s">
        <v>22</v>
      </c>
      <c r="I68" t="s">
        <v>23</v>
      </c>
      <c r="J68" t="s">
        <v>24</v>
      </c>
      <c r="K68" t="str">
        <f t="shared" si="4"/>
        <v>View</v>
      </c>
      <c r="L68" t="s">
        <v>25</v>
      </c>
      <c r="M68" t="s">
        <v>22</v>
      </c>
      <c r="N68" t="s">
        <v>26</v>
      </c>
      <c r="O68" t="s">
        <v>24</v>
      </c>
      <c r="P68">
        <v>33.58</v>
      </c>
      <c r="Q68">
        <v>99.93</v>
      </c>
      <c r="S68">
        <v>1</v>
      </c>
      <c r="U68" t="s">
        <v>360</v>
      </c>
      <c r="V68" t="s">
        <v>361</v>
      </c>
    </row>
    <row r="69" spans="1:22" x14ac:dyDescent="0.3">
      <c r="A69">
        <v>70</v>
      </c>
      <c r="B69" t="str">
        <f>HYPERLINK("https://imapinvasives.natureserve.org/imap/services/page/Presence/1412092.html", "View")</f>
        <v>View</v>
      </c>
      <c r="C69" t="s">
        <v>191</v>
      </c>
      <c r="D69">
        <v>1412092</v>
      </c>
      <c r="E69">
        <v>1424788</v>
      </c>
      <c r="F69" t="str">
        <f>HYPERLINK("http://imap3images.s3-website-us-east-1.amazonaws.com/1424788/p/imap_app_photo_1718759670315.jpg", "View")</f>
        <v>View</v>
      </c>
      <c r="G69" t="s">
        <v>192</v>
      </c>
      <c r="H69" t="s">
        <v>22</v>
      </c>
      <c r="I69" t="s">
        <v>23</v>
      </c>
      <c r="J69" t="s">
        <v>24</v>
      </c>
      <c r="K69" t="str">
        <f t="shared" si="4"/>
        <v>View</v>
      </c>
      <c r="L69" t="s">
        <v>25</v>
      </c>
      <c r="M69" t="s">
        <v>22</v>
      </c>
      <c r="N69" t="s">
        <v>26</v>
      </c>
      <c r="O69" t="s">
        <v>24</v>
      </c>
      <c r="P69">
        <v>23.25</v>
      </c>
      <c r="Q69">
        <v>89.25</v>
      </c>
      <c r="S69">
        <v>1</v>
      </c>
      <c r="U69" t="s">
        <v>360</v>
      </c>
      <c r="V69" t="s">
        <v>361</v>
      </c>
    </row>
    <row r="70" spans="1:22" x14ac:dyDescent="0.3">
      <c r="A70">
        <v>71</v>
      </c>
      <c r="B70" t="str">
        <f>HYPERLINK("https://imapinvasives.natureserve.org/imap/services/page/Presence/1411902.html", "View")</f>
        <v>View</v>
      </c>
      <c r="C70" t="s">
        <v>193</v>
      </c>
      <c r="D70">
        <v>1411902</v>
      </c>
      <c r="E70">
        <v>1424578</v>
      </c>
      <c r="F70" t="str">
        <f>HYPERLINK("http://imap3images.s3-website-us-east-1.amazonaws.com/1424578/p/imap_app_photo_1718559015205.jpg", "View")</f>
        <v>View</v>
      </c>
      <c r="G70" t="s">
        <v>194</v>
      </c>
      <c r="H70" t="s">
        <v>22</v>
      </c>
      <c r="I70" t="s">
        <v>23</v>
      </c>
      <c r="J70" t="s">
        <v>24</v>
      </c>
      <c r="K70" t="str">
        <f t="shared" si="4"/>
        <v>View</v>
      </c>
      <c r="L70" t="s">
        <v>25</v>
      </c>
      <c r="M70" t="s">
        <v>22</v>
      </c>
      <c r="N70" t="s">
        <v>26</v>
      </c>
      <c r="O70" t="s">
        <v>24</v>
      </c>
      <c r="P70">
        <v>12.44</v>
      </c>
      <c r="Q70">
        <v>99.52</v>
      </c>
      <c r="S70">
        <v>1</v>
      </c>
      <c r="U70" t="s">
        <v>360</v>
      </c>
      <c r="V70" t="s">
        <v>361</v>
      </c>
    </row>
    <row r="71" spans="1:22" x14ac:dyDescent="0.3">
      <c r="A71">
        <v>72</v>
      </c>
      <c r="B71" t="str">
        <f>HYPERLINK("https://imapinvasives.natureserve.org/imap/services/page/Presence/1411374.html", "View")</f>
        <v>View</v>
      </c>
      <c r="C71" t="s">
        <v>195</v>
      </c>
      <c r="D71">
        <v>1411374</v>
      </c>
      <c r="E71">
        <v>1423942</v>
      </c>
      <c r="F71" t="str">
        <f>HYPERLINK("http://imap3images.s3-website-us-east-1.amazonaws.com/1423942/p/imap_app_photo_1718369475054.jpg", "View")</f>
        <v>View</v>
      </c>
      <c r="G71" t="s">
        <v>196</v>
      </c>
      <c r="H71" t="s">
        <v>22</v>
      </c>
      <c r="I71" t="s">
        <v>23</v>
      </c>
      <c r="J71" t="s">
        <v>24</v>
      </c>
      <c r="K71" t="str">
        <f t="shared" si="4"/>
        <v>View</v>
      </c>
      <c r="L71" t="s">
        <v>25</v>
      </c>
      <c r="M71" t="s">
        <v>22</v>
      </c>
      <c r="N71" t="s">
        <v>26</v>
      </c>
      <c r="O71" t="s">
        <v>24</v>
      </c>
      <c r="P71">
        <v>38.979999999999997</v>
      </c>
      <c r="Q71">
        <v>39.86</v>
      </c>
      <c r="S71">
        <v>1</v>
      </c>
      <c r="U71" t="s">
        <v>360</v>
      </c>
      <c r="V71" t="s">
        <v>361</v>
      </c>
    </row>
    <row r="72" spans="1:22" x14ac:dyDescent="0.3">
      <c r="A72">
        <v>73</v>
      </c>
      <c r="B72" t="str">
        <f>HYPERLINK("https://imapinvasives.natureserve.org/imap/services/page/Presence/1410830.html", "View")</f>
        <v>View</v>
      </c>
      <c r="C72" t="s">
        <v>197</v>
      </c>
      <c r="D72">
        <v>1410830</v>
      </c>
      <c r="E72">
        <v>1423370</v>
      </c>
      <c r="F72" t="str">
        <f>HYPERLINK("http://imap3images.s3-website-us-east-1.amazonaws.com/1423370/p/imap_app_photo_1717890472945.jpg", "View")</f>
        <v>View</v>
      </c>
      <c r="G72" t="s">
        <v>198</v>
      </c>
      <c r="H72" t="s">
        <v>22</v>
      </c>
      <c r="I72" t="s">
        <v>23</v>
      </c>
      <c r="J72" t="s">
        <v>24</v>
      </c>
      <c r="K72" t="str">
        <f t="shared" si="4"/>
        <v>View</v>
      </c>
      <c r="L72" t="s">
        <v>25</v>
      </c>
      <c r="M72" t="s">
        <v>22</v>
      </c>
      <c r="N72" t="s">
        <v>26</v>
      </c>
      <c r="O72" t="s">
        <v>24</v>
      </c>
      <c r="P72">
        <v>21.2</v>
      </c>
      <c r="Q72">
        <v>99.87</v>
      </c>
      <c r="S72">
        <v>1</v>
      </c>
      <c r="U72" t="s">
        <v>360</v>
      </c>
      <c r="V72" t="s">
        <v>361</v>
      </c>
    </row>
    <row r="73" spans="1:22" x14ac:dyDescent="0.3">
      <c r="A73">
        <v>74</v>
      </c>
      <c r="B73" t="str">
        <f>HYPERLINK("https://imapinvasives.natureserve.org/imap/services/page/Presence/1410829.html", "View")</f>
        <v>View</v>
      </c>
      <c r="C73" t="s">
        <v>199</v>
      </c>
      <c r="D73">
        <v>1410829</v>
      </c>
      <c r="E73">
        <v>1423369</v>
      </c>
      <c r="F73" t="str">
        <f>HYPERLINK("http://imap3images.s3-website-us-east-1.amazonaws.com/1423369/p/PXL_20240608_163112793.MP.jpg", "View")</f>
        <v>View</v>
      </c>
      <c r="G73" t="s">
        <v>200</v>
      </c>
      <c r="H73" t="s">
        <v>22</v>
      </c>
      <c r="I73" t="s">
        <v>23</v>
      </c>
      <c r="J73" t="s">
        <v>24</v>
      </c>
      <c r="K73" t="str">
        <f t="shared" si="4"/>
        <v>View</v>
      </c>
      <c r="L73" t="s">
        <v>25</v>
      </c>
      <c r="M73" t="s">
        <v>22</v>
      </c>
      <c r="N73" t="s">
        <v>26</v>
      </c>
      <c r="O73" t="s">
        <v>24</v>
      </c>
      <c r="P73">
        <v>38.979999999999997</v>
      </c>
      <c r="Q73">
        <v>99.02</v>
      </c>
      <c r="S73">
        <v>1</v>
      </c>
      <c r="U73" t="s">
        <v>360</v>
      </c>
      <c r="V73" t="s">
        <v>361</v>
      </c>
    </row>
    <row r="74" spans="1:22" x14ac:dyDescent="0.3">
      <c r="A74">
        <v>75</v>
      </c>
      <c r="B74" t="str">
        <f>HYPERLINK("https://imapinvasives.natureserve.org/imap/services/page/Presence/1409512.html", "View")</f>
        <v>View</v>
      </c>
      <c r="C74" t="s">
        <v>201</v>
      </c>
      <c r="D74">
        <v>1409512</v>
      </c>
      <c r="E74">
        <v>1421946</v>
      </c>
      <c r="F74" t="str">
        <f>HYPERLINK("http://imap3images.s3-website-us-east-1.amazonaws.com/1421946/p/Photo_1.jpg", "View")</f>
        <v>View</v>
      </c>
      <c r="G74" t="s">
        <v>202</v>
      </c>
      <c r="H74" t="s">
        <v>22</v>
      </c>
      <c r="I74" t="s">
        <v>23</v>
      </c>
      <c r="J74" t="s">
        <v>24</v>
      </c>
      <c r="K74" t="str">
        <f>HYPERLINK("https://www.inaturalist.org/taxa/79148-Solidago-altissima", "View")</f>
        <v>View</v>
      </c>
      <c r="L74" t="s">
        <v>203</v>
      </c>
      <c r="M74" t="s">
        <v>204</v>
      </c>
      <c r="N74" t="s">
        <v>205</v>
      </c>
      <c r="O74" t="s">
        <v>206</v>
      </c>
      <c r="P74">
        <v>3.48</v>
      </c>
      <c r="Q74">
        <v>50.88</v>
      </c>
      <c r="S74">
        <v>0</v>
      </c>
      <c r="U74" t="s">
        <v>364</v>
      </c>
      <c r="V74" t="s">
        <v>365</v>
      </c>
    </row>
    <row r="75" spans="1:22" x14ac:dyDescent="0.3">
      <c r="A75">
        <v>76</v>
      </c>
      <c r="B75" t="str">
        <f>HYPERLINK("https://imapinvasives.natureserve.org/imap/services/page/Presence/1393615.html", "View")</f>
        <v>View</v>
      </c>
      <c r="C75" t="s">
        <v>207</v>
      </c>
      <c r="D75">
        <v>1393615</v>
      </c>
      <c r="E75">
        <v>1411809</v>
      </c>
      <c r="F75" t="str">
        <f>HYPERLINK("http://imap3images.s3-website-us-east-1.amazonaws.com/1411809/p/Photo_1.jpg", "View")</f>
        <v>View</v>
      </c>
      <c r="G75" t="s">
        <v>208</v>
      </c>
      <c r="H75" t="s">
        <v>22</v>
      </c>
      <c r="I75" t="s">
        <v>23</v>
      </c>
      <c r="J75" t="s">
        <v>24</v>
      </c>
      <c r="K75" t="str">
        <f>HYPERLINK("https://www.inaturalist.org/taxa/59778-Pastinaca-sativa", "View")</f>
        <v>View</v>
      </c>
      <c r="L75" t="s">
        <v>25</v>
      </c>
      <c r="M75" t="s">
        <v>22</v>
      </c>
      <c r="N75" t="s">
        <v>26</v>
      </c>
      <c r="O75" t="s">
        <v>24</v>
      </c>
      <c r="P75">
        <v>39.130000000000003</v>
      </c>
      <c r="Q75">
        <v>24.14</v>
      </c>
      <c r="S75">
        <v>1</v>
      </c>
      <c r="U75" t="s">
        <v>360</v>
      </c>
      <c r="V75" t="s">
        <v>362</v>
      </c>
    </row>
    <row r="76" spans="1:22" x14ac:dyDescent="0.3">
      <c r="A76">
        <v>77</v>
      </c>
      <c r="B76" t="str">
        <f>HYPERLINK("https://imapinvasives.natureserve.org/imap/services/page/Presence/1393591.html", "View")</f>
        <v>View</v>
      </c>
      <c r="C76" t="s">
        <v>209</v>
      </c>
      <c r="D76">
        <v>1393591</v>
      </c>
      <c r="E76">
        <v>1411734</v>
      </c>
      <c r="F76" t="str">
        <f>HYPERLINK("http://imap3images.s3-website-us-east-1.amazonaws.com/1411734/p/Photo_1.jpg", "View")</f>
        <v>View</v>
      </c>
      <c r="G76" t="s">
        <v>210</v>
      </c>
      <c r="H76" t="s">
        <v>22</v>
      </c>
      <c r="I76" t="s">
        <v>23</v>
      </c>
      <c r="J76" t="s">
        <v>24</v>
      </c>
      <c r="K76" t="str">
        <f>HYPERLINK("https://www.inaturalist.org/taxa/59778-Pastinaca-sativa", "View")</f>
        <v>View</v>
      </c>
      <c r="L76" t="s">
        <v>25</v>
      </c>
      <c r="M76" t="s">
        <v>22</v>
      </c>
      <c r="N76" t="s">
        <v>26</v>
      </c>
      <c r="O76" t="s">
        <v>24</v>
      </c>
      <c r="P76">
        <v>36.119999999999997</v>
      </c>
      <c r="Q76">
        <v>99.84</v>
      </c>
      <c r="S76">
        <v>1</v>
      </c>
      <c r="U76" t="s">
        <v>360</v>
      </c>
      <c r="V76" t="s">
        <v>361</v>
      </c>
    </row>
    <row r="77" spans="1:22" x14ac:dyDescent="0.3">
      <c r="A77">
        <v>78</v>
      </c>
      <c r="B77" t="str">
        <f>HYPERLINK("https://imapinvasives.natureserve.org/imap/services/page/Presence/1362841.html", "View")</f>
        <v>View</v>
      </c>
      <c r="C77" t="s">
        <v>211</v>
      </c>
      <c r="D77">
        <v>1362841</v>
      </c>
      <c r="E77">
        <v>1380590</v>
      </c>
      <c r="F77" t="str">
        <f>HYPERLINK("http://imap3images.s3-website-us-east-1.amazonaws.com/1380590/p/Photo_1.jpg", "View")</f>
        <v>View</v>
      </c>
      <c r="G77" t="s">
        <v>212</v>
      </c>
      <c r="H77" t="s">
        <v>22</v>
      </c>
      <c r="I77" t="s">
        <v>23</v>
      </c>
      <c r="J77" t="s">
        <v>24</v>
      </c>
      <c r="K77" t="str">
        <f>HYPERLINK("https://www.inaturalist.org/taxa/56160-Valeriana-officinalis", "View")</f>
        <v>View</v>
      </c>
      <c r="L77" t="s">
        <v>213</v>
      </c>
      <c r="M77" t="s">
        <v>214</v>
      </c>
      <c r="N77" t="s">
        <v>215</v>
      </c>
      <c r="O77" t="s">
        <v>216</v>
      </c>
      <c r="P77">
        <v>12.76</v>
      </c>
      <c r="Q77">
        <v>98.56</v>
      </c>
      <c r="S77">
        <v>0</v>
      </c>
      <c r="U77" t="s">
        <v>364</v>
      </c>
      <c r="V77" t="s">
        <v>365</v>
      </c>
    </row>
    <row r="78" spans="1:22" x14ac:dyDescent="0.3">
      <c r="A78">
        <v>79</v>
      </c>
      <c r="B78" t="str">
        <f>HYPERLINK("https://imapinvasives.natureserve.org/imap/services/page/Presence/1355117.html", "View")</f>
        <v>View</v>
      </c>
      <c r="C78" t="s">
        <v>217</v>
      </c>
      <c r="D78">
        <v>1355117</v>
      </c>
      <c r="E78">
        <v>1372749</v>
      </c>
      <c r="F78" t="str">
        <f>HYPERLINK("http://imap3images.s3-website-us-east-1.amazonaws.com/1372749/p/2DCE2A3B-66D0-4D2B-A2BB-48D486112F00.jpeg", "View")</f>
        <v>View</v>
      </c>
      <c r="G78" t="s">
        <v>218</v>
      </c>
      <c r="H78" t="s">
        <v>22</v>
      </c>
      <c r="I78" t="s">
        <v>23</v>
      </c>
      <c r="J78" t="s">
        <v>24</v>
      </c>
      <c r="K78" t="str">
        <f>HYPERLINK("https://www.inaturalist.org/taxa/708885-Allium-nutans", "View")</f>
        <v>View</v>
      </c>
      <c r="L78" t="s">
        <v>219</v>
      </c>
      <c r="M78" t="s">
        <v>220</v>
      </c>
      <c r="N78" t="s">
        <v>221</v>
      </c>
      <c r="O78" t="s">
        <v>222</v>
      </c>
      <c r="P78">
        <v>0</v>
      </c>
      <c r="Q78">
        <v>20.25</v>
      </c>
      <c r="S78">
        <v>0</v>
      </c>
      <c r="U78" t="s">
        <v>364</v>
      </c>
      <c r="V78" t="s">
        <v>366</v>
      </c>
    </row>
    <row r="79" spans="1:22" x14ac:dyDescent="0.3">
      <c r="A79">
        <v>80</v>
      </c>
      <c r="B79" t="str">
        <f>HYPERLINK("https://imapinvasives.natureserve.org/imap/services/page/Presence/1355098.html", "View")</f>
        <v>View</v>
      </c>
      <c r="C79" t="s">
        <v>223</v>
      </c>
      <c r="D79">
        <v>1355098</v>
      </c>
      <c r="E79">
        <v>1372730</v>
      </c>
      <c r="F79" t="str">
        <f>HYPERLINK("http://imap3images.s3-website-us-east-1.amazonaws.com/1372730/p/20220731_201604.jpg", "View")</f>
        <v>View</v>
      </c>
      <c r="G79" t="s">
        <v>224</v>
      </c>
      <c r="H79" t="s">
        <v>22</v>
      </c>
      <c r="I79" t="s">
        <v>23</v>
      </c>
      <c r="J79" t="s">
        <v>24</v>
      </c>
      <c r="K79" t="str">
        <f t="shared" ref="K79:K107" si="5">HYPERLINK("https://www.inaturalist.org/taxa/59778-Pastinaca-sativa", "View")</f>
        <v>View</v>
      </c>
      <c r="L79" t="s">
        <v>25</v>
      </c>
      <c r="M79" t="s">
        <v>22</v>
      </c>
      <c r="N79" t="s">
        <v>26</v>
      </c>
      <c r="O79" t="s">
        <v>24</v>
      </c>
      <c r="P79">
        <v>14.51</v>
      </c>
      <c r="Q79">
        <v>74.66</v>
      </c>
      <c r="S79">
        <v>1</v>
      </c>
      <c r="U79" t="s">
        <v>360</v>
      </c>
      <c r="V79" t="s">
        <v>361</v>
      </c>
    </row>
    <row r="80" spans="1:22" x14ac:dyDescent="0.3">
      <c r="A80">
        <v>81</v>
      </c>
      <c r="B80" t="str">
        <f>HYPERLINK("https://imapinvasives.natureserve.org/imap/services/page/Presence/1355088.html", "View")</f>
        <v>View</v>
      </c>
      <c r="C80" t="s">
        <v>225</v>
      </c>
      <c r="D80">
        <v>1355088</v>
      </c>
      <c r="E80">
        <v>1372720</v>
      </c>
      <c r="F80" t="str">
        <f>HYPERLINK("http://imap3images.s3-website-us-east-1.amazonaws.com/1372720/p/Wild_Parsnip_3.jpg", "View")</f>
        <v>View</v>
      </c>
      <c r="G80" t="s">
        <v>226</v>
      </c>
      <c r="H80" t="s">
        <v>22</v>
      </c>
      <c r="I80" t="s">
        <v>23</v>
      </c>
      <c r="J80" t="s">
        <v>24</v>
      </c>
      <c r="K80" t="str">
        <f t="shared" si="5"/>
        <v>View</v>
      </c>
      <c r="L80" t="s">
        <v>25</v>
      </c>
      <c r="M80" t="s">
        <v>22</v>
      </c>
      <c r="N80" t="s">
        <v>26</v>
      </c>
      <c r="O80" t="s">
        <v>24</v>
      </c>
      <c r="P80">
        <v>38.1</v>
      </c>
      <c r="Q80">
        <v>95.85</v>
      </c>
      <c r="S80">
        <v>1</v>
      </c>
      <c r="U80" t="s">
        <v>360</v>
      </c>
      <c r="V80" t="s">
        <v>361</v>
      </c>
    </row>
    <row r="81" spans="1:22" x14ac:dyDescent="0.3">
      <c r="A81">
        <v>82</v>
      </c>
      <c r="B81" t="str">
        <f>HYPERLINK("https://imapinvasives.natureserve.org/imap/services/page/Presence/1355086.html", "View")</f>
        <v>View</v>
      </c>
      <c r="C81" t="s">
        <v>227</v>
      </c>
      <c r="D81">
        <v>1355086</v>
      </c>
      <c r="E81">
        <v>1372718</v>
      </c>
      <c r="F81" t="str">
        <f>HYPERLINK("http://imap3images.s3-website-us-east-1.amazonaws.com/1372718/p/20220712_125116.jpg", "View")</f>
        <v>View</v>
      </c>
      <c r="G81" t="s">
        <v>228</v>
      </c>
      <c r="H81" t="s">
        <v>22</v>
      </c>
      <c r="I81" t="s">
        <v>23</v>
      </c>
      <c r="J81" t="s">
        <v>24</v>
      </c>
      <c r="K81" t="str">
        <f t="shared" si="5"/>
        <v>View</v>
      </c>
      <c r="L81" t="s">
        <v>25</v>
      </c>
      <c r="M81" t="s">
        <v>22</v>
      </c>
      <c r="N81" t="s">
        <v>26</v>
      </c>
      <c r="O81" t="s">
        <v>24</v>
      </c>
      <c r="P81">
        <v>12.83</v>
      </c>
      <c r="Q81">
        <v>98.8</v>
      </c>
      <c r="S81">
        <v>1</v>
      </c>
      <c r="U81" t="s">
        <v>360</v>
      </c>
      <c r="V81" t="s">
        <v>361</v>
      </c>
    </row>
    <row r="82" spans="1:22" x14ac:dyDescent="0.3">
      <c r="A82">
        <v>83</v>
      </c>
      <c r="B82" t="str">
        <f>HYPERLINK("https://imapinvasives.natureserve.org/imap/services/page/Presence/1355085.html", "View")</f>
        <v>View</v>
      </c>
      <c r="C82" t="s">
        <v>229</v>
      </c>
      <c r="D82">
        <v>1355085</v>
      </c>
      <c r="E82">
        <v>1372717</v>
      </c>
      <c r="F82" t="str">
        <f>HYPERLINK("http://imap3images.s3-website-us-east-1.amazonaws.com/1372717/p/IMG_20220714_110730.jpg", "View")</f>
        <v>View</v>
      </c>
      <c r="G82" t="s">
        <v>230</v>
      </c>
      <c r="H82" t="s">
        <v>22</v>
      </c>
      <c r="I82" t="s">
        <v>23</v>
      </c>
      <c r="J82" t="s">
        <v>24</v>
      </c>
      <c r="K82" t="str">
        <f t="shared" si="5"/>
        <v>View</v>
      </c>
      <c r="L82" t="s">
        <v>25</v>
      </c>
      <c r="M82" t="s">
        <v>22</v>
      </c>
      <c r="N82" t="s">
        <v>26</v>
      </c>
      <c r="O82" t="s">
        <v>24</v>
      </c>
      <c r="P82">
        <v>12.92</v>
      </c>
      <c r="Q82">
        <v>96.47</v>
      </c>
      <c r="S82">
        <v>1</v>
      </c>
      <c r="U82" t="s">
        <v>360</v>
      </c>
      <c r="V82" t="s">
        <v>361</v>
      </c>
    </row>
    <row r="83" spans="1:22" x14ac:dyDescent="0.3">
      <c r="A83">
        <v>84</v>
      </c>
      <c r="B83" t="str">
        <f>HYPERLINK("https://imapinvasives.natureserve.org/imap/services/page/Presence/1355082.html", "View")</f>
        <v>View</v>
      </c>
      <c r="C83" t="s">
        <v>231</v>
      </c>
      <c r="D83">
        <v>1355082</v>
      </c>
      <c r="E83">
        <v>1372714</v>
      </c>
      <c r="F83" t="str">
        <f>HYPERLINK("http://imap3images.s3-website-us-east-1.amazonaws.com/1372714/p/11D55AA2-B7A9-49BB-B699-C930351B7C3D.jpeg", "View")</f>
        <v>View</v>
      </c>
      <c r="G83" t="s">
        <v>232</v>
      </c>
      <c r="H83" t="s">
        <v>22</v>
      </c>
      <c r="I83" t="s">
        <v>23</v>
      </c>
      <c r="J83" t="s">
        <v>24</v>
      </c>
      <c r="K83" t="str">
        <f t="shared" si="5"/>
        <v>View</v>
      </c>
      <c r="L83" t="s">
        <v>25</v>
      </c>
      <c r="M83" t="s">
        <v>22</v>
      </c>
      <c r="N83" t="s">
        <v>26</v>
      </c>
      <c r="O83" t="s">
        <v>24</v>
      </c>
      <c r="P83">
        <v>21.62</v>
      </c>
      <c r="Q83">
        <v>84.07</v>
      </c>
      <c r="S83">
        <v>1</v>
      </c>
      <c r="U83" t="s">
        <v>360</v>
      </c>
      <c r="V83" t="s">
        <v>361</v>
      </c>
    </row>
    <row r="84" spans="1:22" x14ac:dyDescent="0.3">
      <c r="A84">
        <v>85</v>
      </c>
      <c r="B84" t="str">
        <f>HYPERLINK("https://imapinvasives.natureserve.org/imap/services/page/Presence/1355081.html", "View")</f>
        <v>View</v>
      </c>
      <c r="C84" t="s">
        <v>233</v>
      </c>
      <c r="D84">
        <v>1355081</v>
      </c>
      <c r="E84">
        <v>1372713</v>
      </c>
      <c r="F84" t="str">
        <f>HYPERLINK("http://imap3images.s3-website-us-east-1.amazonaws.com/1372713/p/9B792B18-F75C-486A-A782-6B390B10926C.jpeg", "View")</f>
        <v>View</v>
      </c>
      <c r="G84" t="s">
        <v>234</v>
      </c>
      <c r="H84" t="s">
        <v>22</v>
      </c>
      <c r="I84" t="s">
        <v>23</v>
      </c>
      <c r="J84" t="s">
        <v>24</v>
      </c>
      <c r="K84" t="str">
        <f t="shared" si="5"/>
        <v>View</v>
      </c>
      <c r="L84" t="s">
        <v>25</v>
      </c>
      <c r="M84" t="s">
        <v>22</v>
      </c>
      <c r="N84" t="s">
        <v>26</v>
      </c>
      <c r="O84" t="s">
        <v>24</v>
      </c>
      <c r="P84">
        <v>12.99</v>
      </c>
      <c r="Q84">
        <v>24.99</v>
      </c>
      <c r="S84">
        <v>1</v>
      </c>
      <c r="U84" t="s">
        <v>360</v>
      </c>
      <c r="V84" t="s">
        <v>361</v>
      </c>
    </row>
    <row r="85" spans="1:22" x14ac:dyDescent="0.3">
      <c r="A85">
        <v>86</v>
      </c>
      <c r="B85" t="str">
        <f>HYPERLINK("https://imapinvasives.natureserve.org/imap/services/page/Presence/1354713.html", "View")</f>
        <v>View</v>
      </c>
      <c r="C85" t="s">
        <v>235</v>
      </c>
      <c r="D85">
        <v>1354713</v>
      </c>
      <c r="E85">
        <v>1372229</v>
      </c>
      <c r="F85" t="str">
        <f>HYPERLINK("http://imap3images.s3-website-us-east-1.amazonaws.com/1372229/p/imap_app_photo_1695607192343.jpg", "View")</f>
        <v>View</v>
      </c>
      <c r="G85" t="s">
        <v>236</v>
      </c>
      <c r="H85" t="s">
        <v>22</v>
      </c>
      <c r="I85" t="s">
        <v>23</v>
      </c>
      <c r="J85" t="s">
        <v>24</v>
      </c>
      <c r="K85" t="str">
        <f t="shared" si="5"/>
        <v>View</v>
      </c>
      <c r="L85" t="s">
        <v>25</v>
      </c>
      <c r="M85" t="s">
        <v>22</v>
      </c>
      <c r="N85" t="s">
        <v>26</v>
      </c>
      <c r="O85" t="s">
        <v>24</v>
      </c>
      <c r="P85">
        <v>21.38</v>
      </c>
      <c r="Q85">
        <v>42.75</v>
      </c>
      <c r="S85">
        <v>1</v>
      </c>
      <c r="U85" t="s">
        <v>360</v>
      </c>
      <c r="V85" t="s">
        <v>366</v>
      </c>
    </row>
    <row r="86" spans="1:22" x14ac:dyDescent="0.3">
      <c r="A86">
        <v>87</v>
      </c>
      <c r="B86" t="str">
        <f>HYPERLINK("https://imapinvasives.natureserve.org/imap/services/page/Presence/1354694.html", "View")</f>
        <v>View</v>
      </c>
      <c r="C86" t="s">
        <v>237</v>
      </c>
      <c r="D86">
        <v>1354694</v>
      </c>
      <c r="E86">
        <v>1372210</v>
      </c>
      <c r="F86" t="str">
        <f>HYPERLINK("http://imap3images.s3-website-us-east-1.amazonaws.com/1372210/p/imap_app_photo_1695594584360.jpg", "View")</f>
        <v>View</v>
      </c>
      <c r="G86" t="s">
        <v>238</v>
      </c>
      <c r="H86" t="s">
        <v>22</v>
      </c>
      <c r="I86" t="s">
        <v>23</v>
      </c>
      <c r="J86" t="s">
        <v>24</v>
      </c>
      <c r="K86" t="str">
        <f t="shared" si="5"/>
        <v>View</v>
      </c>
      <c r="L86" t="s">
        <v>25</v>
      </c>
      <c r="M86" t="s">
        <v>22</v>
      </c>
      <c r="N86" t="s">
        <v>26</v>
      </c>
      <c r="O86" t="s">
        <v>24</v>
      </c>
      <c r="P86">
        <v>21.38</v>
      </c>
      <c r="Q86">
        <v>2.66</v>
      </c>
      <c r="S86">
        <v>1</v>
      </c>
      <c r="U86" t="s">
        <v>360</v>
      </c>
      <c r="V86" t="s">
        <v>366</v>
      </c>
    </row>
    <row r="87" spans="1:22" x14ac:dyDescent="0.3">
      <c r="A87">
        <v>88</v>
      </c>
      <c r="B87" t="str">
        <f>HYPERLINK("https://imapinvasives.natureserve.org/imap/services/page/Presence/1354686.html", "View")</f>
        <v>View</v>
      </c>
      <c r="C87" t="s">
        <v>239</v>
      </c>
      <c r="D87">
        <v>1354686</v>
      </c>
      <c r="E87">
        <v>1372202</v>
      </c>
      <c r="F87" t="str">
        <f>HYPERLINK("http://imap3images.s3-website-us-east-1.amazonaws.com/1372202/p/imap_app_photo_1695593433387.jpg", "View")</f>
        <v>View</v>
      </c>
      <c r="G87" t="s">
        <v>240</v>
      </c>
      <c r="H87" t="s">
        <v>22</v>
      </c>
      <c r="I87" t="s">
        <v>23</v>
      </c>
      <c r="J87" t="s">
        <v>24</v>
      </c>
      <c r="K87" t="str">
        <f t="shared" si="5"/>
        <v>View</v>
      </c>
      <c r="L87" t="s">
        <v>25</v>
      </c>
      <c r="M87" t="s">
        <v>22</v>
      </c>
      <c r="N87" t="s">
        <v>26</v>
      </c>
      <c r="O87" t="s">
        <v>24</v>
      </c>
      <c r="P87">
        <v>21.38</v>
      </c>
      <c r="Q87">
        <v>75.069999999999993</v>
      </c>
      <c r="S87">
        <v>1</v>
      </c>
      <c r="U87" t="s">
        <v>360</v>
      </c>
      <c r="V87" t="s">
        <v>361</v>
      </c>
    </row>
    <row r="88" spans="1:22" x14ac:dyDescent="0.3">
      <c r="A88">
        <v>89</v>
      </c>
      <c r="B88" t="str">
        <f>HYPERLINK("https://imapinvasives.natureserve.org/imap/services/page/Presence/1354612.html", "View")</f>
        <v>View</v>
      </c>
      <c r="C88" t="s">
        <v>241</v>
      </c>
      <c r="D88">
        <v>1354612</v>
      </c>
      <c r="E88">
        <v>1372128</v>
      </c>
      <c r="F88" t="str">
        <f>HYPERLINK("http://imap3images.s3-website-us-east-1.amazonaws.com/1372128/p/imap_app_photo_1695494683581.jpg", "View")</f>
        <v>View</v>
      </c>
      <c r="G88" t="s">
        <v>242</v>
      </c>
      <c r="H88" t="s">
        <v>22</v>
      </c>
      <c r="I88" t="s">
        <v>23</v>
      </c>
      <c r="J88" t="s">
        <v>24</v>
      </c>
      <c r="K88" t="str">
        <f t="shared" si="5"/>
        <v>View</v>
      </c>
      <c r="L88" t="s">
        <v>25</v>
      </c>
      <c r="M88" t="s">
        <v>22</v>
      </c>
      <c r="N88" t="s">
        <v>26</v>
      </c>
      <c r="O88" t="s">
        <v>24</v>
      </c>
      <c r="P88">
        <v>21.38</v>
      </c>
      <c r="Q88">
        <v>92.31</v>
      </c>
      <c r="S88">
        <v>1</v>
      </c>
      <c r="U88" t="s">
        <v>360</v>
      </c>
      <c r="V88" t="s">
        <v>361</v>
      </c>
    </row>
    <row r="89" spans="1:22" x14ac:dyDescent="0.3">
      <c r="A89">
        <v>90</v>
      </c>
      <c r="B89" t="str">
        <f>HYPERLINK("https://imapinvasives.natureserve.org/imap/services/page/Presence/1349888.html", "View")</f>
        <v>View</v>
      </c>
      <c r="C89" t="s">
        <v>243</v>
      </c>
      <c r="D89">
        <v>1349888</v>
      </c>
      <c r="E89">
        <v>1366846</v>
      </c>
      <c r="F89" t="str">
        <f>HYPERLINK("http://imap3images.s3-website-us-east-1.amazonaws.com/1366846/p/Photo_3.jpg", "View")</f>
        <v>View</v>
      </c>
      <c r="G89" t="s">
        <v>244</v>
      </c>
      <c r="H89" t="s">
        <v>22</v>
      </c>
      <c r="I89" t="s">
        <v>23</v>
      </c>
      <c r="J89" t="s">
        <v>24</v>
      </c>
      <c r="K89" t="str">
        <f t="shared" si="5"/>
        <v>View</v>
      </c>
      <c r="L89" t="s">
        <v>25</v>
      </c>
      <c r="M89" t="s">
        <v>22</v>
      </c>
      <c r="N89" t="s">
        <v>26</v>
      </c>
      <c r="O89" t="s">
        <v>24</v>
      </c>
      <c r="P89">
        <v>21.62</v>
      </c>
      <c r="Q89">
        <v>37.270000000000003</v>
      </c>
      <c r="S89">
        <v>1</v>
      </c>
      <c r="U89" t="s">
        <v>360</v>
      </c>
      <c r="V89" t="s">
        <v>362</v>
      </c>
    </row>
    <row r="90" spans="1:22" x14ac:dyDescent="0.3">
      <c r="A90">
        <v>91</v>
      </c>
      <c r="B90" t="str">
        <f>HYPERLINK("https://imapinvasives.natureserve.org/imap/services/page/Presence/1348149.html", "View")</f>
        <v>View</v>
      </c>
      <c r="C90" t="s">
        <v>245</v>
      </c>
      <c r="D90">
        <v>1348149</v>
      </c>
      <c r="E90">
        <v>1364843</v>
      </c>
      <c r="F90" t="str">
        <f>HYPERLINK("http://imap3images.s3-website-us-east-1.amazonaws.com/1364843/p/IMG_4523_1_.JPG", "View")</f>
        <v>View</v>
      </c>
      <c r="G90" t="s">
        <v>246</v>
      </c>
      <c r="H90" t="s">
        <v>22</v>
      </c>
      <c r="I90" t="s">
        <v>23</v>
      </c>
      <c r="J90" t="s">
        <v>24</v>
      </c>
      <c r="K90" t="str">
        <f t="shared" si="5"/>
        <v>View</v>
      </c>
      <c r="L90" t="s">
        <v>25</v>
      </c>
      <c r="M90" t="s">
        <v>22</v>
      </c>
      <c r="N90" t="s">
        <v>26</v>
      </c>
      <c r="O90" t="s">
        <v>24</v>
      </c>
      <c r="P90">
        <v>38.1</v>
      </c>
      <c r="Q90">
        <v>85.96</v>
      </c>
      <c r="S90">
        <v>1</v>
      </c>
      <c r="U90" t="s">
        <v>360</v>
      </c>
      <c r="V90" t="s">
        <v>361</v>
      </c>
    </row>
    <row r="91" spans="1:22" x14ac:dyDescent="0.3">
      <c r="A91">
        <v>92</v>
      </c>
      <c r="B91" t="str">
        <f>HYPERLINK("https://imapinvasives.natureserve.org/imap/services/page/Presence/1343045.html", "View")</f>
        <v>View</v>
      </c>
      <c r="C91" t="s">
        <v>247</v>
      </c>
      <c r="D91">
        <v>1343045</v>
      </c>
      <c r="E91">
        <v>1358581</v>
      </c>
      <c r="F91" t="str">
        <f>HYPERLINK("http://imap3images.s3-website-us-east-1.amazonaws.com/1358581/p/imap_app_photo_1690550983407.jpg", "View")</f>
        <v>View</v>
      </c>
      <c r="G91" t="s">
        <v>248</v>
      </c>
      <c r="H91" t="s">
        <v>22</v>
      </c>
      <c r="I91" t="s">
        <v>23</v>
      </c>
      <c r="J91" t="s">
        <v>24</v>
      </c>
      <c r="K91" t="str">
        <f t="shared" si="5"/>
        <v>View</v>
      </c>
      <c r="L91" t="s">
        <v>25</v>
      </c>
      <c r="M91" t="s">
        <v>22</v>
      </c>
      <c r="N91" t="s">
        <v>26</v>
      </c>
      <c r="O91" t="s">
        <v>24</v>
      </c>
      <c r="P91">
        <v>21.62</v>
      </c>
      <c r="Q91">
        <v>97.6</v>
      </c>
      <c r="S91">
        <v>1</v>
      </c>
      <c r="U91" t="s">
        <v>360</v>
      </c>
      <c r="V91" t="s">
        <v>361</v>
      </c>
    </row>
    <row r="92" spans="1:22" x14ac:dyDescent="0.3">
      <c r="A92">
        <v>93</v>
      </c>
      <c r="B92" t="str">
        <f>HYPERLINK("https://imapinvasives.natureserve.org/imap/services/page/Presence/1343040.html", "View")</f>
        <v>View</v>
      </c>
      <c r="C92" t="s">
        <v>249</v>
      </c>
      <c r="D92">
        <v>1343040</v>
      </c>
      <c r="E92">
        <v>1358576</v>
      </c>
      <c r="F92" t="str">
        <f>HYPERLINK("http://imap3images.s3-website-us-east-1.amazonaws.com/1358576/p/imap_app_photo_1690550954847.jpg", "View")</f>
        <v>View</v>
      </c>
      <c r="G92" t="s">
        <v>250</v>
      </c>
      <c r="H92" t="s">
        <v>22</v>
      </c>
      <c r="I92" t="s">
        <v>23</v>
      </c>
      <c r="J92" t="s">
        <v>24</v>
      </c>
      <c r="K92" t="str">
        <f t="shared" si="5"/>
        <v>View</v>
      </c>
      <c r="L92" t="s">
        <v>25</v>
      </c>
      <c r="M92" t="s">
        <v>22</v>
      </c>
      <c r="N92" t="s">
        <v>26</v>
      </c>
      <c r="O92" t="s">
        <v>24</v>
      </c>
      <c r="P92">
        <v>21.62</v>
      </c>
      <c r="Q92">
        <v>40.520000000000003</v>
      </c>
      <c r="S92">
        <v>1</v>
      </c>
      <c r="U92" t="s">
        <v>360</v>
      </c>
      <c r="V92" t="s">
        <v>362</v>
      </c>
    </row>
    <row r="93" spans="1:22" x14ac:dyDescent="0.3">
      <c r="A93">
        <v>94</v>
      </c>
      <c r="B93" t="str">
        <f>HYPERLINK("https://imapinvasives.natureserve.org/imap/services/page/Presence/1343033.html", "View")</f>
        <v>View</v>
      </c>
      <c r="C93" t="s">
        <v>251</v>
      </c>
      <c r="D93">
        <v>1343033</v>
      </c>
      <c r="E93">
        <v>1358569</v>
      </c>
      <c r="F93" t="str">
        <f>HYPERLINK("http://imap3images.s3-website-us-east-1.amazonaws.com/1358569/p/imap_app_photo_1690550915033.jpg", "View")</f>
        <v>View</v>
      </c>
      <c r="G93" t="s">
        <v>252</v>
      </c>
      <c r="H93" t="s">
        <v>22</v>
      </c>
      <c r="I93" t="s">
        <v>23</v>
      </c>
      <c r="J93" t="s">
        <v>24</v>
      </c>
      <c r="K93" t="str">
        <f t="shared" si="5"/>
        <v>View</v>
      </c>
      <c r="L93" t="s">
        <v>25</v>
      </c>
      <c r="M93" t="s">
        <v>22</v>
      </c>
      <c r="N93" t="s">
        <v>26</v>
      </c>
      <c r="O93" t="s">
        <v>24</v>
      </c>
      <c r="P93">
        <v>21.62</v>
      </c>
      <c r="Q93">
        <v>82.22</v>
      </c>
      <c r="S93">
        <v>1</v>
      </c>
      <c r="U93" t="s">
        <v>360</v>
      </c>
      <c r="V93" t="s">
        <v>361</v>
      </c>
    </row>
    <row r="94" spans="1:22" x14ac:dyDescent="0.3">
      <c r="A94">
        <v>95</v>
      </c>
      <c r="B94" t="str">
        <f>HYPERLINK("https://imapinvasives.natureserve.org/imap/services/page/Presence/1342934.html", "View")</f>
        <v>View</v>
      </c>
      <c r="C94" t="s">
        <v>253</v>
      </c>
      <c r="D94">
        <v>1342934</v>
      </c>
      <c r="E94">
        <v>1358451</v>
      </c>
      <c r="F94" t="str">
        <f>HYPERLINK("http://imap3images.s3-website-us-east-1.amazonaws.com/1358451/p/imap_app_photo_1690485506366.jpg", "View")</f>
        <v>View</v>
      </c>
      <c r="G94" t="s">
        <v>254</v>
      </c>
      <c r="H94" t="s">
        <v>22</v>
      </c>
      <c r="I94" t="s">
        <v>23</v>
      </c>
      <c r="J94" t="s">
        <v>24</v>
      </c>
      <c r="K94" t="str">
        <f t="shared" si="5"/>
        <v>View</v>
      </c>
      <c r="L94" t="s">
        <v>25</v>
      </c>
      <c r="M94" t="s">
        <v>22</v>
      </c>
      <c r="N94" t="s">
        <v>26</v>
      </c>
      <c r="O94" t="s">
        <v>24</v>
      </c>
      <c r="P94">
        <v>38.979999999999997</v>
      </c>
      <c r="Q94">
        <v>98.01</v>
      </c>
      <c r="S94">
        <v>1</v>
      </c>
      <c r="U94" t="s">
        <v>360</v>
      </c>
      <c r="V94" t="s">
        <v>361</v>
      </c>
    </row>
    <row r="95" spans="1:22" x14ac:dyDescent="0.3">
      <c r="A95">
        <v>96</v>
      </c>
      <c r="B95" t="str">
        <f>HYPERLINK("https://imapinvasives.natureserve.org/imap/services/page/Presence/1342266.html", "View")</f>
        <v>View</v>
      </c>
      <c r="C95" t="s">
        <v>255</v>
      </c>
      <c r="D95">
        <v>1342266</v>
      </c>
      <c r="E95">
        <v>1357705</v>
      </c>
      <c r="F95" t="str">
        <f>HYPERLINK("http://imap3images.s3-website-us-east-1.amazonaws.com/1357705/p/Photo_2.jpg", "View")</f>
        <v>View</v>
      </c>
      <c r="G95" t="s">
        <v>256</v>
      </c>
      <c r="H95" t="s">
        <v>22</v>
      </c>
      <c r="I95" t="s">
        <v>23</v>
      </c>
      <c r="J95" t="s">
        <v>24</v>
      </c>
      <c r="K95" t="str">
        <f t="shared" si="5"/>
        <v>View</v>
      </c>
      <c r="L95" t="s">
        <v>25</v>
      </c>
      <c r="M95" t="s">
        <v>22</v>
      </c>
      <c r="N95" t="s">
        <v>26</v>
      </c>
      <c r="O95" t="s">
        <v>24</v>
      </c>
      <c r="P95">
        <v>25.15</v>
      </c>
      <c r="Q95">
        <v>82.06</v>
      </c>
      <c r="S95">
        <v>1</v>
      </c>
      <c r="U95" t="s">
        <v>360</v>
      </c>
      <c r="V95" t="s">
        <v>361</v>
      </c>
    </row>
    <row r="96" spans="1:22" x14ac:dyDescent="0.3">
      <c r="A96">
        <v>97</v>
      </c>
      <c r="B96" t="str">
        <f>HYPERLINK("https://imapinvasives.natureserve.org/imap/services/page/Presence/1341800.html", "View")</f>
        <v>View</v>
      </c>
      <c r="C96" t="s">
        <v>257</v>
      </c>
      <c r="D96">
        <v>1341800</v>
      </c>
      <c r="E96">
        <v>1357200</v>
      </c>
      <c r="F96" t="str">
        <f>HYPERLINK("http://imap3images.s3-website-us-east-1.amazonaws.com/1357200/p/imap_app_photo_1690222582021.jpg", "View")</f>
        <v>View</v>
      </c>
      <c r="G96" t="s">
        <v>258</v>
      </c>
      <c r="H96" t="s">
        <v>22</v>
      </c>
      <c r="I96" t="s">
        <v>23</v>
      </c>
      <c r="J96" t="s">
        <v>24</v>
      </c>
      <c r="K96" t="str">
        <f t="shared" si="5"/>
        <v>View</v>
      </c>
      <c r="L96" t="s">
        <v>25</v>
      </c>
      <c r="M96" t="s">
        <v>22</v>
      </c>
      <c r="N96" t="s">
        <v>26</v>
      </c>
      <c r="O96" t="s">
        <v>24</v>
      </c>
      <c r="P96">
        <v>21.38</v>
      </c>
      <c r="Q96">
        <v>98.5</v>
      </c>
      <c r="S96">
        <v>1</v>
      </c>
      <c r="U96" t="s">
        <v>360</v>
      </c>
      <c r="V96" t="s">
        <v>361</v>
      </c>
    </row>
    <row r="97" spans="1:22" x14ac:dyDescent="0.3">
      <c r="A97">
        <v>98</v>
      </c>
      <c r="B97" t="str">
        <f>HYPERLINK("https://imapinvasives.natureserve.org/imap/services/page/Presence/1341240.html", "View")</f>
        <v>View</v>
      </c>
      <c r="C97" t="s">
        <v>259</v>
      </c>
      <c r="D97">
        <v>1341240</v>
      </c>
      <c r="E97">
        <v>1356488</v>
      </c>
      <c r="F97" t="str">
        <f>HYPERLINK("http://imap3images.s3-website-us-east-1.amazonaws.com/1356488/p/imap_app_photo_1689811980756.jpg", "View")</f>
        <v>View</v>
      </c>
      <c r="G97" t="s">
        <v>260</v>
      </c>
      <c r="H97" t="s">
        <v>22</v>
      </c>
      <c r="I97" t="s">
        <v>23</v>
      </c>
      <c r="J97" t="s">
        <v>24</v>
      </c>
      <c r="K97" t="str">
        <f t="shared" si="5"/>
        <v>View</v>
      </c>
      <c r="L97" t="s">
        <v>25</v>
      </c>
      <c r="M97" t="s">
        <v>22</v>
      </c>
      <c r="N97" t="s">
        <v>26</v>
      </c>
      <c r="O97" t="s">
        <v>24</v>
      </c>
      <c r="P97">
        <v>17.82</v>
      </c>
      <c r="Q97">
        <v>32.56</v>
      </c>
      <c r="S97">
        <v>1</v>
      </c>
      <c r="U97" t="s">
        <v>360</v>
      </c>
      <c r="V97" t="s">
        <v>362</v>
      </c>
    </row>
    <row r="98" spans="1:22" x14ac:dyDescent="0.3">
      <c r="A98">
        <v>99</v>
      </c>
      <c r="B98" t="str">
        <f>HYPERLINK("https://imapinvasives.natureserve.org/imap/services/page/Presence/1341234.html", "View")</f>
        <v>View</v>
      </c>
      <c r="C98" t="s">
        <v>261</v>
      </c>
      <c r="D98">
        <v>1341234</v>
      </c>
      <c r="E98">
        <v>1356482</v>
      </c>
      <c r="F98" t="str">
        <f>HYPERLINK("http://imap3images.s3-website-us-east-1.amazonaws.com/1356482/p/imap_app_photo_1689810915430.jpg", "View")</f>
        <v>View</v>
      </c>
      <c r="G98" t="s">
        <v>262</v>
      </c>
      <c r="H98" t="s">
        <v>22</v>
      </c>
      <c r="I98" t="s">
        <v>23</v>
      </c>
      <c r="J98" t="s">
        <v>24</v>
      </c>
      <c r="K98" t="str">
        <f t="shared" si="5"/>
        <v>View</v>
      </c>
      <c r="L98" t="s">
        <v>25</v>
      </c>
      <c r="M98" t="s">
        <v>22</v>
      </c>
      <c r="N98" t="s">
        <v>26</v>
      </c>
      <c r="O98" t="s">
        <v>24</v>
      </c>
      <c r="P98">
        <v>12.83</v>
      </c>
      <c r="Q98">
        <v>99.96</v>
      </c>
      <c r="S98">
        <v>1</v>
      </c>
      <c r="U98" t="s">
        <v>360</v>
      </c>
      <c r="V98" t="s">
        <v>361</v>
      </c>
    </row>
    <row r="99" spans="1:22" x14ac:dyDescent="0.3">
      <c r="A99">
        <v>100</v>
      </c>
      <c r="B99" t="str">
        <f>HYPERLINK("https://imapinvasives.natureserve.org/imap/services/page/Presence/1341228.html", "View")</f>
        <v>View</v>
      </c>
      <c r="C99" t="s">
        <v>263</v>
      </c>
      <c r="D99">
        <v>1341228</v>
      </c>
      <c r="E99">
        <v>1356476</v>
      </c>
      <c r="F99" t="str">
        <f>HYPERLINK("http://imap3images.s3-website-us-east-1.amazonaws.com/1356476/p/imap_app_photo_1689810883120.jpg", "View")</f>
        <v>View</v>
      </c>
      <c r="G99" t="s">
        <v>264</v>
      </c>
      <c r="H99" t="s">
        <v>22</v>
      </c>
      <c r="I99" t="s">
        <v>23</v>
      </c>
      <c r="J99" t="s">
        <v>24</v>
      </c>
      <c r="K99" t="str">
        <f t="shared" si="5"/>
        <v>View</v>
      </c>
      <c r="L99" t="s">
        <v>25</v>
      </c>
      <c r="M99" t="s">
        <v>22</v>
      </c>
      <c r="N99" t="s">
        <v>26</v>
      </c>
      <c r="O99" t="s">
        <v>24</v>
      </c>
      <c r="P99">
        <v>12.07</v>
      </c>
      <c r="Q99">
        <v>31.52</v>
      </c>
      <c r="S99">
        <v>1</v>
      </c>
      <c r="U99" t="s">
        <v>360</v>
      </c>
      <c r="V99" t="s">
        <v>362</v>
      </c>
    </row>
    <row r="100" spans="1:22" x14ac:dyDescent="0.3">
      <c r="A100">
        <v>101</v>
      </c>
      <c r="B100" t="str">
        <f>HYPERLINK("https://imapinvasives.natureserve.org/imap/services/page/Presence/1340771.html", "View")</f>
        <v>View</v>
      </c>
      <c r="C100" t="s">
        <v>265</v>
      </c>
      <c r="D100">
        <v>1340771</v>
      </c>
      <c r="E100">
        <v>1355943</v>
      </c>
      <c r="F100" t="str">
        <f>HYPERLINK("http://imap3images.s3-website-us-east-1.amazonaws.com/1355943/p/Plantum_1689544324409.jpg", "View")</f>
        <v>View</v>
      </c>
      <c r="G100" t="s">
        <v>266</v>
      </c>
      <c r="H100" t="s">
        <v>22</v>
      </c>
      <c r="I100" t="s">
        <v>23</v>
      </c>
      <c r="J100" t="s">
        <v>24</v>
      </c>
      <c r="K100" t="str">
        <f t="shared" si="5"/>
        <v>View</v>
      </c>
      <c r="L100" t="s">
        <v>25</v>
      </c>
      <c r="M100" t="s">
        <v>22</v>
      </c>
      <c r="N100" t="s">
        <v>26</v>
      </c>
      <c r="O100" t="s">
        <v>24</v>
      </c>
      <c r="P100">
        <v>48.51</v>
      </c>
      <c r="Q100">
        <v>99.76</v>
      </c>
      <c r="S100">
        <v>1</v>
      </c>
      <c r="U100" t="s">
        <v>360</v>
      </c>
      <c r="V100" t="s">
        <v>361</v>
      </c>
    </row>
    <row r="101" spans="1:22" x14ac:dyDescent="0.3">
      <c r="A101">
        <v>102</v>
      </c>
      <c r="B101" t="str">
        <f>HYPERLINK("https://imapinvasives.natureserve.org/imap/services/page/Presence/1339638.html", "View")</f>
        <v>View</v>
      </c>
      <c r="C101" t="s">
        <v>267</v>
      </c>
      <c r="D101">
        <v>1339638</v>
      </c>
      <c r="E101">
        <v>1354655</v>
      </c>
      <c r="F101" t="str">
        <f>HYPERLINK("http://imap3images.s3-website-us-east-1.amazonaws.com/1354655/p/imap_app_photo_1689006989907.jpg", "View")</f>
        <v>View</v>
      </c>
      <c r="G101" t="s">
        <v>268</v>
      </c>
      <c r="H101" t="s">
        <v>22</v>
      </c>
      <c r="I101" t="s">
        <v>23</v>
      </c>
      <c r="J101" t="s">
        <v>24</v>
      </c>
      <c r="K101" t="str">
        <f t="shared" si="5"/>
        <v>View</v>
      </c>
      <c r="L101" t="s">
        <v>25</v>
      </c>
      <c r="M101" t="s">
        <v>22</v>
      </c>
      <c r="N101" t="s">
        <v>26</v>
      </c>
      <c r="O101" t="s">
        <v>24</v>
      </c>
      <c r="P101">
        <v>21.2</v>
      </c>
      <c r="Q101">
        <v>99.31</v>
      </c>
      <c r="S101">
        <v>1</v>
      </c>
      <c r="U101" t="s">
        <v>360</v>
      </c>
      <c r="V101" t="s">
        <v>361</v>
      </c>
    </row>
    <row r="102" spans="1:22" x14ac:dyDescent="0.3">
      <c r="A102">
        <v>103</v>
      </c>
      <c r="B102" t="str">
        <f>HYPERLINK("https://imapinvasives.natureserve.org/imap/services/page/Presence/1338540.html", "View")</f>
        <v>View</v>
      </c>
      <c r="C102" t="s">
        <v>269</v>
      </c>
      <c r="D102">
        <v>1338540</v>
      </c>
      <c r="E102">
        <v>1353338</v>
      </c>
      <c r="F102" t="str">
        <f>HYPERLINK("http://imap3images.s3-website-us-east-1.amazonaws.com/1353338/p/imap_app_photo_1688501459145.jpg", "View")</f>
        <v>View</v>
      </c>
      <c r="G102" t="s">
        <v>270</v>
      </c>
      <c r="H102" t="s">
        <v>22</v>
      </c>
      <c r="I102" t="s">
        <v>23</v>
      </c>
      <c r="J102" t="s">
        <v>24</v>
      </c>
      <c r="K102" t="str">
        <f t="shared" si="5"/>
        <v>View</v>
      </c>
      <c r="L102" t="s">
        <v>25</v>
      </c>
      <c r="M102" t="s">
        <v>22</v>
      </c>
      <c r="N102" t="s">
        <v>26</v>
      </c>
      <c r="O102" t="s">
        <v>24</v>
      </c>
      <c r="P102">
        <v>10.76</v>
      </c>
      <c r="Q102">
        <v>26.9</v>
      </c>
      <c r="S102">
        <v>1</v>
      </c>
      <c r="U102" t="s">
        <v>360</v>
      </c>
      <c r="V102" t="s">
        <v>361</v>
      </c>
    </row>
    <row r="103" spans="1:22" x14ac:dyDescent="0.3">
      <c r="A103">
        <v>104</v>
      </c>
      <c r="B103" t="str">
        <f>HYPERLINK("https://imapinvasives.natureserve.org/imap/services/page/Presence/1338539.html", "View")</f>
        <v>View</v>
      </c>
      <c r="C103" t="s">
        <v>271</v>
      </c>
      <c r="D103">
        <v>1338539</v>
      </c>
      <c r="E103">
        <v>1353337</v>
      </c>
      <c r="F103" t="str">
        <f>HYPERLINK("http://imap3images.s3-website-us-east-1.amazonaws.com/1353337/p/imap_app_photo_1688501450857.jpg", "View")</f>
        <v>View</v>
      </c>
      <c r="G103" t="s">
        <v>272</v>
      </c>
      <c r="H103" t="s">
        <v>22</v>
      </c>
      <c r="I103" t="s">
        <v>23</v>
      </c>
      <c r="J103" t="s">
        <v>24</v>
      </c>
      <c r="K103" t="str">
        <f t="shared" si="5"/>
        <v>View</v>
      </c>
      <c r="L103" t="s">
        <v>25</v>
      </c>
      <c r="M103" t="s">
        <v>22</v>
      </c>
      <c r="N103" t="s">
        <v>26</v>
      </c>
      <c r="O103" t="s">
        <v>24</v>
      </c>
      <c r="P103">
        <v>10.76</v>
      </c>
      <c r="Q103">
        <v>99.89</v>
      </c>
      <c r="S103">
        <v>1</v>
      </c>
      <c r="U103" t="s">
        <v>360</v>
      </c>
      <c r="V103" t="s">
        <v>361</v>
      </c>
    </row>
    <row r="104" spans="1:22" x14ac:dyDescent="0.3">
      <c r="A104">
        <v>105</v>
      </c>
      <c r="B104" t="str">
        <f>HYPERLINK("https://imapinvasives.natureserve.org/imap/services/page/Presence/1338512.html", "View")</f>
        <v>View</v>
      </c>
      <c r="C104" t="s">
        <v>273</v>
      </c>
      <c r="D104">
        <v>1338512</v>
      </c>
      <c r="E104">
        <v>1353307</v>
      </c>
      <c r="F104" t="str">
        <f>HYPERLINK("http://imap3images.s3-website-us-east-1.amazonaws.com/1353307/p/IMG_20230704_081208.jpg", "View")</f>
        <v>View</v>
      </c>
      <c r="G104" t="s">
        <v>274</v>
      </c>
      <c r="H104" t="s">
        <v>22</v>
      </c>
      <c r="I104" t="s">
        <v>23</v>
      </c>
      <c r="J104" t="s">
        <v>24</v>
      </c>
      <c r="K104" t="str">
        <f t="shared" si="5"/>
        <v>View</v>
      </c>
      <c r="L104" t="s">
        <v>25</v>
      </c>
      <c r="M104" t="s">
        <v>22</v>
      </c>
      <c r="N104" t="s">
        <v>26</v>
      </c>
      <c r="O104" t="s">
        <v>24</v>
      </c>
      <c r="P104">
        <v>21.56</v>
      </c>
      <c r="Q104">
        <v>99.9</v>
      </c>
      <c r="S104">
        <v>1</v>
      </c>
      <c r="U104" t="s">
        <v>360</v>
      </c>
      <c r="V104" t="s">
        <v>361</v>
      </c>
    </row>
    <row r="105" spans="1:22" x14ac:dyDescent="0.3">
      <c r="A105">
        <v>106</v>
      </c>
      <c r="B105" t="str">
        <f>HYPERLINK("https://imapinvasives.natureserve.org/imap/services/page/Presence/1337883.html", "View")</f>
        <v>View</v>
      </c>
      <c r="C105" t="s">
        <v>275</v>
      </c>
      <c r="D105">
        <v>1337883</v>
      </c>
      <c r="E105">
        <v>1352547</v>
      </c>
      <c r="F105" t="str">
        <f>HYPERLINK("http://imap3images.s3-website-us-east-1.amazonaws.com/1352547/p/imap_app_photo_1688238619632.jpg", "View")</f>
        <v>View</v>
      </c>
      <c r="G105" t="s">
        <v>276</v>
      </c>
      <c r="H105" t="s">
        <v>22</v>
      </c>
      <c r="I105" t="s">
        <v>23</v>
      </c>
      <c r="J105" t="s">
        <v>24</v>
      </c>
      <c r="K105" t="str">
        <f t="shared" si="5"/>
        <v>View</v>
      </c>
      <c r="L105" t="s">
        <v>25</v>
      </c>
      <c r="M105" t="s">
        <v>22</v>
      </c>
      <c r="N105" t="s">
        <v>26</v>
      </c>
      <c r="O105" t="s">
        <v>24</v>
      </c>
      <c r="P105">
        <v>16.05</v>
      </c>
      <c r="Q105">
        <v>83.47</v>
      </c>
      <c r="S105">
        <v>1</v>
      </c>
      <c r="U105" t="s">
        <v>360</v>
      </c>
      <c r="V105" t="s">
        <v>361</v>
      </c>
    </row>
    <row r="106" spans="1:22" x14ac:dyDescent="0.3">
      <c r="A106">
        <v>107</v>
      </c>
      <c r="B106" t="str">
        <f>HYPERLINK("https://imapinvasives.natureserve.org/imap/services/page/Presence/1336153.html", "View")</f>
        <v>View</v>
      </c>
      <c r="C106" t="s">
        <v>277</v>
      </c>
      <c r="D106">
        <v>1336153</v>
      </c>
      <c r="E106">
        <v>1350526</v>
      </c>
      <c r="F106" t="str">
        <f>HYPERLINK("http://imap3images.s3-website-us-east-1.amazonaws.com/1350526/p/imap_app_photo_1687394936574.jpg", "View")</f>
        <v>View</v>
      </c>
      <c r="G106" t="s">
        <v>278</v>
      </c>
      <c r="H106" t="s">
        <v>22</v>
      </c>
      <c r="I106" t="s">
        <v>23</v>
      </c>
      <c r="J106" t="s">
        <v>24</v>
      </c>
      <c r="K106" t="str">
        <f t="shared" si="5"/>
        <v>View</v>
      </c>
      <c r="L106" t="s">
        <v>25</v>
      </c>
      <c r="M106" t="s">
        <v>22</v>
      </c>
      <c r="N106" t="s">
        <v>26</v>
      </c>
      <c r="O106" t="s">
        <v>24</v>
      </c>
      <c r="P106">
        <v>21.2</v>
      </c>
      <c r="Q106">
        <v>11.8</v>
      </c>
      <c r="S106">
        <v>1</v>
      </c>
      <c r="U106" t="s">
        <v>360</v>
      </c>
      <c r="V106" t="s">
        <v>361</v>
      </c>
    </row>
    <row r="107" spans="1:22" x14ac:dyDescent="0.3">
      <c r="A107">
        <v>108</v>
      </c>
      <c r="B107" t="str">
        <f>HYPERLINK("https://imapinvasives.natureserve.org/imap/services/page/Presence/1335474.html", "View")</f>
        <v>View</v>
      </c>
      <c r="C107" t="s">
        <v>279</v>
      </c>
      <c r="D107">
        <v>1335474</v>
      </c>
      <c r="E107">
        <v>1349779</v>
      </c>
      <c r="F107" t="str">
        <f>HYPERLINK("http://imap3images.s3-website-us-east-1.amazonaws.com/1349779/p/imap_app_photo_1686857067500.jpg", "View")</f>
        <v>View</v>
      </c>
      <c r="G107" t="s">
        <v>280</v>
      </c>
      <c r="H107" t="s">
        <v>22</v>
      </c>
      <c r="I107" t="s">
        <v>23</v>
      </c>
      <c r="J107" t="s">
        <v>24</v>
      </c>
      <c r="K107" t="str">
        <f t="shared" si="5"/>
        <v>View</v>
      </c>
      <c r="L107" t="s">
        <v>25</v>
      </c>
      <c r="M107" t="s">
        <v>22</v>
      </c>
      <c r="N107" t="s">
        <v>26</v>
      </c>
      <c r="O107" t="s">
        <v>24</v>
      </c>
      <c r="P107">
        <v>28.74</v>
      </c>
      <c r="Q107">
        <v>71.11</v>
      </c>
      <c r="S107">
        <v>1</v>
      </c>
      <c r="U107" t="s">
        <v>360</v>
      </c>
      <c r="V107" t="s">
        <v>361</v>
      </c>
    </row>
    <row r="108" spans="1:22" x14ac:dyDescent="0.3">
      <c r="A108">
        <v>109</v>
      </c>
      <c r="B108" t="str">
        <f>HYPERLINK("https://imapinvasives.natureserve.org/imap/services/page/Presence/1334758.html", "View")</f>
        <v>View</v>
      </c>
      <c r="C108" t="s">
        <v>281</v>
      </c>
      <c r="D108">
        <v>1334758</v>
      </c>
      <c r="E108">
        <v>1348943</v>
      </c>
      <c r="F108" t="str">
        <f>HYPERLINK("http://imap3images.s3-website-us-east-1.amazonaws.com/1348943/p/Photo2-20230607-204803.jpg", "View")</f>
        <v>View</v>
      </c>
      <c r="G108" t="s">
        <v>282</v>
      </c>
      <c r="H108" t="s">
        <v>22</v>
      </c>
      <c r="I108" t="s">
        <v>23</v>
      </c>
      <c r="J108" t="s">
        <v>24</v>
      </c>
      <c r="K108" t="str">
        <f>HYPERLINK("https://www.inaturalist.org/taxa/77616-Lactuca-biennis", "View")</f>
        <v>View</v>
      </c>
      <c r="L108" t="s">
        <v>283</v>
      </c>
      <c r="M108" t="s">
        <v>284</v>
      </c>
      <c r="N108" t="s">
        <v>285</v>
      </c>
      <c r="O108" t="s">
        <v>286</v>
      </c>
      <c r="P108">
        <v>4.72</v>
      </c>
      <c r="Q108">
        <v>8.85</v>
      </c>
      <c r="S108">
        <v>0</v>
      </c>
      <c r="U108" t="s">
        <v>364</v>
      </c>
      <c r="V108" t="s">
        <v>365</v>
      </c>
    </row>
    <row r="109" spans="1:22" x14ac:dyDescent="0.3">
      <c r="A109">
        <v>110</v>
      </c>
      <c r="B109" t="str">
        <f>HYPERLINK("https://imapinvasives.natureserve.org/imap/services/page/Presence/1332589.html", "View")</f>
        <v>View</v>
      </c>
      <c r="C109" t="s">
        <v>287</v>
      </c>
      <c r="D109">
        <v>1332589</v>
      </c>
      <c r="E109">
        <v>1346517</v>
      </c>
      <c r="F109" t="str">
        <f>HYPERLINK("http://imap3images.s3-website-us-east-1.amazonaws.com/1346517/p/20230531_203237.jpg", "View")</f>
        <v>View</v>
      </c>
      <c r="G109" t="s">
        <v>288</v>
      </c>
      <c r="H109" t="s">
        <v>22</v>
      </c>
      <c r="I109" t="s">
        <v>23</v>
      </c>
      <c r="J109" t="s">
        <v>24</v>
      </c>
      <c r="K109" t="str">
        <f t="shared" ref="K109:K117" si="6">HYPERLINK("https://www.inaturalist.org/taxa/59778-Pastinaca-sativa", "View")</f>
        <v>View</v>
      </c>
      <c r="L109" t="s">
        <v>25</v>
      </c>
      <c r="M109" t="s">
        <v>22</v>
      </c>
      <c r="N109" t="s">
        <v>26</v>
      </c>
      <c r="O109" t="s">
        <v>24</v>
      </c>
      <c r="P109">
        <v>37.39</v>
      </c>
      <c r="Q109">
        <v>99.74</v>
      </c>
      <c r="S109">
        <v>1</v>
      </c>
      <c r="U109" t="s">
        <v>360</v>
      </c>
      <c r="V109" t="s">
        <v>361</v>
      </c>
    </row>
    <row r="110" spans="1:22" x14ac:dyDescent="0.3">
      <c r="A110">
        <v>111</v>
      </c>
      <c r="B110" t="str">
        <f>HYPERLINK("https://imapinvasives.natureserve.org/imap/services/page/Presence/1332477.html", "View")</f>
        <v>View</v>
      </c>
      <c r="C110" t="s">
        <v>289</v>
      </c>
      <c r="D110">
        <v>1332477</v>
      </c>
      <c r="E110">
        <v>1346351</v>
      </c>
      <c r="F110" t="str">
        <f>HYPERLINK("http://imap3images.s3-website-us-east-1.amazonaws.com/1346351/p/Photo1-20230530-171813.jpg", "View")</f>
        <v>View</v>
      </c>
      <c r="G110" t="s">
        <v>290</v>
      </c>
      <c r="H110" t="s">
        <v>22</v>
      </c>
      <c r="I110" t="s">
        <v>23</v>
      </c>
      <c r="J110" t="s">
        <v>24</v>
      </c>
      <c r="K110" t="str">
        <f t="shared" si="6"/>
        <v>View</v>
      </c>
      <c r="L110" t="s">
        <v>25</v>
      </c>
      <c r="M110" t="s">
        <v>22</v>
      </c>
      <c r="N110" t="s">
        <v>26</v>
      </c>
      <c r="O110" t="s">
        <v>24</v>
      </c>
      <c r="P110">
        <v>33.58</v>
      </c>
      <c r="Q110">
        <v>95.92</v>
      </c>
      <c r="S110">
        <v>1</v>
      </c>
      <c r="U110" t="s">
        <v>360</v>
      </c>
      <c r="V110" t="s">
        <v>361</v>
      </c>
    </row>
    <row r="111" spans="1:22" x14ac:dyDescent="0.3">
      <c r="A111">
        <v>112</v>
      </c>
      <c r="B111" t="str">
        <f>HYPERLINK("https://imapinvasives.natureserve.org/imap/services/page/Presence/1332388.html", "View")</f>
        <v>View</v>
      </c>
      <c r="C111" t="s">
        <v>291</v>
      </c>
      <c r="D111">
        <v>1332388</v>
      </c>
      <c r="E111">
        <v>1346151</v>
      </c>
      <c r="F111" t="str">
        <f>HYPERLINK("http://imap3images.s3-website-us-east-1.amazonaws.com/1346151/p/imap_app_photo_1685473075591.jpg", "View")</f>
        <v>View</v>
      </c>
      <c r="G111" t="s">
        <v>292</v>
      </c>
      <c r="H111" t="s">
        <v>22</v>
      </c>
      <c r="I111" t="s">
        <v>23</v>
      </c>
      <c r="J111" t="s">
        <v>24</v>
      </c>
      <c r="K111" t="str">
        <f t="shared" si="6"/>
        <v>View</v>
      </c>
      <c r="L111" t="s">
        <v>25</v>
      </c>
      <c r="M111" t="s">
        <v>22</v>
      </c>
      <c r="N111" t="s">
        <v>26</v>
      </c>
      <c r="O111" t="s">
        <v>24</v>
      </c>
      <c r="P111">
        <v>33.58</v>
      </c>
      <c r="Q111">
        <v>99.67</v>
      </c>
      <c r="S111">
        <v>1</v>
      </c>
      <c r="U111" t="s">
        <v>360</v>
      </c>
      <c r="V111" t="s">
        <v>361</v>
      </c>
    </row>
    <row r="112" spans="1:22" x14ac:dyDescent="0.3">
      <c r="A112">
        <v>113</v>
      </c>
      <c r="B112" t="str">
        <f>HYPERLINK("https://imapinvasives.natureserve.org/imap/services/page/Presence/1328317.html", "View")</f>
        <v>View</v>
      </c>
      <c r="C112" t="s">
        <v>293</v>
      </c>
      <c r="D112">
        <v>1328317</v>
      </c>
      <c r="E112">
        <v>1341473</v>
      </c>
      <c r="F112" t="str">
        <f>HYPERLINK("http://imap3images.s3-website-us-east-1.amazonaws.com/1341473/p/imap_app_photo_1683569279211.jpg", "View")</f>
        <v>View</v>
      </c>
      <c r="G112" t="s">
        <v>294</v>
      </c>
      <c r="H112" t="s">
        <v>22</v>
      </c>
      <c r="I112" t="s">
        <v>23</v>
      </c>
      <c r="J112" t="s">
        <v>24</v>
      </c>
      <c r="K112" t="str">
        <f t="shared" si="6"/>
        <v>View</v>
      </c>
      <c r="L112" t="s">
        <v>25</v>
      </c>
      <c r="M112" t="s">
        <v>22</v>
      </c>
      <c r="N112" t="s">
        <v>26</v>
      </c>
      <c r="O112" t="s">
        <v>24</v>
      </c>
      <c r="P112">
        <v>17.55</v>
      </c>
      <c r="Q112">
        <v>99.97</v>
      </c>
      <c r="S112">
        <v>1</v>
      </c>
      <c r="U112" t="s">
        <v>360</v>
      </c>
      <c r="V112" t="s">
        <v>361</v>
      </c>
    </row>
    <row r="113" spans="1:22" x14ac:dyDescent="0.3">
      <c r="A113">
        <v>114</v>
      </c>
      <c r="B113" t="str">
        <f>HYPERLINK("https://imapinvasives.natureserve.org/imap/services/page/Presence/1306906.html", "View")</f>
        <v>View</v>
      </c>
      <c r="C113" t="s">
        <v>295</v>
      </c>
      <c r="D113">
        <v>1306906</v>
      </c>
      <c r="E113">
        <v>1317380</v>
      </c>
      <c r="F113" t="str">
        <f>HYPERLINK("http://imap3images.s3-website-us-east-1.amazonaws.com/1317380/p/Photo_1.jpg", "View")</f>
        <v>View</v>
      </c>
      <c r="G113" t="s">
        <v>296</v>
      </c>
      <c r="H113" t="s">
        <v>22</v>
      </c>
      <c r="I113" t="s">
        <v>23</v>
      </c>
      <c r="J113" t="s">
        <v>24</v>
      </c>
      <c r="K113" t="str">
        <f t="shared" si="6"/>
        <v>View</v>
      </c>
      <c r="L113" t="s">
        <v>25</v>
      </c>
      <c r="M113" t="s">
        <v>22</v>
      </c>
      <c r="N113" t="s">
        <v>26</v>
      </c>
      <c r="O113" t="s">
        <v>24</v>
      </c>
      <c r="P113">
        <v>38.979999999999997</v>
      </c>
      <c r="Q113">
        <v>33</v>
      </c>
      <c r="S113">
        <v>1</v>
      </c>
      <c r="U113" t="s">
        <v>360</v>
      </c>
      <c r="V113" t="s">
        <v>362</v>
      </c>
    </row>
    <row r="114" spans="1:22" x14ac:dyDescent="0.3">
      <c r="A114">
        <v>115</v>
      </c>
      <c r="B114" t="str">
        <f>HYPERLINK("https://imapinvasives.natureserve.org/imap/services/page/Presence/1305891.html", "View")</f>
        <v>View</v>
      </c>
      <c r="C114" t="s">
        <v>297</v>
      </c>
      <c r="D114">
        <v>1305891</v>
      </c>
      <c r="E114">
        <v>1316317</v>
      </c>
      <c r="F114" t="str">
        <f>HYPERLINK("http://imap3images.s3-website-us-east-1.amazonaws.com/1316317/p/IMG_0517.JPG", "View")</f>
        <v>View</v>
      </c>
      <c r="G114" t="s">
        <v>298</v>
      </c>
      <c r="H114" t="s">
        <v>22</v>
      </c>
      <c r="I114" t="s">
        <v>23</v>
      </c>
      <c r="J114" t="s">
        <v>24</v>
      </c>
      <c r="K114" t="str">
        <f t="shared" si="6"/>
        <v>View</v>
      </c>
      <c r="L114" t="s">
        <v>25</v>
      </c>
      <c r="M114" t="s">
        <v>22</v>
      </c>
      <c r="N114" t="s">
        <v>26</v>
      </c>
      <c r="O114" t="s">
        <v>24</v>
      </c>
      <c r="P114">
        <v>38.979999999999997</v>
      </c>
      <c r="Q114">
        <v>43.84</v>
      </c>
      <c r="S114">
        <v>1</v>
      </c>
      <c r="U114" t="s">
        <v>360</v>
      </c>
      <c r="V114" t="s">
        <v>370</v>
      </c>
    </row>
    <row r="115" spans="1:22" x14ac:dyDescent="0.3">
      <c r="A115">
        <v>116</v>
      </c>
      <c r="B115" t="str">
        <f>HYPERLINK("https://imapinvasives.natureserve.org/imap/services/page/Presence/1305890.html", "View")</f>
        <v>View</v>
      </c>
      <c r="C115" t="s">
        <v>299</v>
      </c>
      <c r="D115">
        <v>1305890</v>
      </c>
      <c r="E115">
        <v>1316316</v>
      </c>
      <c r="F115" t="str">
        <f>HYPERLINK("http://imap3images.s3-website-us-east-1.amazonaws.com/1316316/p/IMG_0517.JPG", "View")</f>
        <v>View</v>
      </c>
      <c r="G115" t="s">
        <v>300</v>
      </c>
      <c r="H115" t="s">
        <v>22</v>
      </c>
      <c r="I115" t="s">
        <v>23</v>
      </c>
      <c r="J115" t="s">
        <v>24</v>
      </c>
      <c r="K115" t="str">
        <f t="shared" si="6"/>
        <v>View</v>
      </c>
      <c r="L115" t="s">
        <v>25</v>
      </c>
      <c r="M115" t="s">
        <v>22</v>
      </c>
      <c r="N115" t="s">
        <v>26</v>
      </c>
      <c r="O115" t="s">
        <v>24</v>
      </c>
      <c r="P115">
        <v>38.979999999999997</v>
      </c>
      <c r="Q115">
        <v>43.84</v>
      </c>
      <c r="S115">
        <v>1</v>
      </c>
      <c r="U115" t="s">
        <v>360</v>
      </c>
      <c r="V115" t="s">
        <v>370</v>
      </c>
    </row>
    <row r="116" spans="1:22" x14ac:dyDescent="0.3">
      <c r="A116">
        <v>117</v>
      </c>
      <c r="B116" t="str">
        <f>HYPERLINK("https://imapinvasives.natureserve.org/imap/services/page/Presence/1305889.html", "View")</f>
        <v>View</v>
      </c>
      <c r="C116" t="s">
        <v>301</v>
      </c>
      <c r="D116">
        <v>1305889</v>
      </c>
      <c r="E116">
        <v>1316315</v>
      </c>
      <c r="F116" t="str">
        <f>HYPERLINK("http://imap3images.s3-website-us-east-1.amazonaws.com/1316315/p/IMG_0517.JPG", "View")</f>
        <v>View</v>
      </c>
      <c r="G116" t="s">
        <v>302</v>
      </c>
      <c r="H116" t="s">
        <v>22</v>
      </c>
      <c r="I116" t="s">
        <v>23</v>
      </c>
      <c r="J116" t="s">
        <v>24</v>
      </c>
      <c r="K116" t="str">
        <f t="shared" si="6"/>
        <v>View</v>
      </c>
      <c r="L116" t="s">
        <v>25</v>
      </c>
      <c r="M116" t="s">
        <v>22</v>
      </c>
      <c r="N116" t="s">
        <v>26</v>
      </c>
      <c r="O116" t="s">
        <v>24</v>
      </c>
      <c r="P116">
        <v>38.979999999999997</v>
      </c>
      <c r="Q116">
        <v>43.84</v>
      </c>
      <c r="S116">
        <v>1</v>
      </c>
      <c r="U116" t="s">
        <v>360</v>
      </c>
      <c r="V116" t="s">
        <v>370</v>
      </c>
    </row>
    <row r="117" spans="1:22" x14ac:dyDescent="0.3">
      <c r="A117">
        <v>118</v>
      </c>
      <c r="B117" t="str">
        <f>HYPERLINK("https://imapinvasives.natureserve.org/imap/services/page/Presence/1299361.html", "View")</f>
        <v>View</v>
      </c>
      <c r="C117" t="s">
        <v>303</v>
      </c>
      <c r="D117">
        <v>1299361</v>
      </c>
      <c r="E117">
        <v>1309703</v>
      </c>
      <c r="F117" t="str">
        <f>HYPERLINK("http://imap3images.s3-website-us-east-1.amazonaws.com/1309703/p/Photo_1.jpg", "View")</f>
        <v>View</v>
      </c>
      <c r="G117" t="s">
        <v>304</v>
      </c>
      <c r="H117" t="s">
        <v>22</v>
      </c>
      <c r="I117" t="s">
        <v>23</v>
      </c>
      <c r="J117" t="s">
        <v>24</v>
      </c>
      <c r="K117" t="str">
        <f t="shared" si="6"/>
        <v>View</v>
      </c>
      <c r="L117" t="s">
        <v>25</v>
      </c>
      <c r="M117" t="s">
        <v>22</v>
      </c>
      <c r="N117" t="s">
        <v>26</v>
      </c>
      <c r="O117" t="s">
        <v>24</v>
      </c>
      <c r="P117">
        <v>21.38</v>
      </c>
      <c r="Q117">
        <v>99.61</v>
      </c>
      <c r="S117">
        <v>1</v>
      </c>
      <c r="U117" t="s">
        <v>360</v>
      </c>
      <c r="V117" t="s">
        <v>361</v>
      </c>
    </row>
    <row r="118" spans="1:22" x14ac:dyDescent="0.3">
      <c r="A118">
        <v>119</v>
      </c>
      <c r="B118" t="str">
        <f>HYPERLINK("https://imapinvasives.natureserve.org/imap/services/page/Presence/1298662.html", "View")</f>
        <v>View</v>
      </c>
      <c r="C118" t="s">
        <v>305</v>
      </c>
      <c r="D118">
        <v>1298662</v>
      </c>
      <c r="E118">
        <v>1308985</v>
      </c>
      <c r="F118" t="str">
        <f>HYPERLINK("http://imap3images.s3-website-us-east-1.amazonaws.com/1308985/p/imap_app_photo_1665611834803.jpg", "View")</f>
        <v>View</v>
      </c>
      <c r="G118" t="s">
        <v>306</v>
      </c>
      <c r="H118" t="s">
        <v>22</v>
      </c>
      <c r="I118" t="s">
        <v>23</v>
      </c>
      <c r="J118" t="s">
        <v>24</v>
      </c>
      <c r="K118" t="str">
        <f>HYPERLINK("https://www.inaturalist.org/taxa/118784-Equisetum-variegatum", "View")</f>
        <v>View</v>
      </c>
      <c r="L118" t="s">
        <v>307</v>
      </c>
      <c r="M118" t="s">
        <v>308</v>
      </c>
      <c r="N118" t="s">
        <v>309</v>
      </c>
      <c r="O118" t="s">
        <v>310</v>
      </c>
      <c r="P118">
        <v>8.7899999999999991</v>
      </c>
      <c r="Q118">
        <v>46.6</v>
      </c>
      <c r="S118">
        <v>0</v>
      </c>
      <c r="U118" t="s">
        <v>364</v>
      </c>
      <c r="V118" t="s">
        <v>365</v>
      </c>
    </row>
    <row r="119" spans="1:22" x14ac:dyDescent="0.3">
      <c r="A119">
        <v>120</v>
      </c>
      <c r="B119" t="str">
        <f>HYPERLINK("https://imapinvasives.natureserve.org/imap/services/page/Presence/1298659.html", "View")</f>
        <v>View</v>
      </c>
      <c r="C119" t="s">
        <v>311</v>
      </c>
      <c r="D119">
        <v>1298659</v>
      </c>
      <c r="E119">
        <v>1308982</v>
      </c>
      <c r="F119" t="str">
        <f>HYPERLINK("http://imap3images.s3-website-us-east-1.amazonaws.com/1308982/p/imap_app_photo_1665611807270.jpg", "View")</f>
        <v>View</v>
      </c>
      <c r="G119" t="s">
        <v>312</v>
      </c>
      <c r="H119" t="s">
        <v>22</v>
      </c>
      <c r="I119" t="s">
        <v>23</v>
      </c>
      <c r="J119" t="s">
        <v>24</v>
      </c>
      <c r="K119" t="str">
        <f>HYPERLINK("https://www.inaturalist.org/taxa/59778-Pastinaca-sativa", "View")</f>
        <v>View</v>
      </c>
      <c r="L119" t="s">
        <v>25</v>
      </c>
      <c r="M119" t="s">
        <v>22</v>
      </c>
      <c r="N119" t="s">
        <v>26</v>
      </c>
      <c r="O119" t="s">
        <v>24</v>
      </c>
      <c r="P119">
        <v>38.979999999999997</v>
      </c>
      <c r="Q119">
        <v>8.27</v>
      </c>
      <c r="S119">
        <v>1</v>
      </c>
      <c r="U119" t="s">
        <v>360</v>
      </c>
      <c r="V119" t="s">
        <v>362</v>
      </c>
    </row>
    <row r="120" spans="1:22" x14ac:dyDescent="0.3">
      <c r="A120">
        <v>121</v>
      </c>
      <c r="B120" t="str">
        <f>HYPERLINK("https://imapinvasives.natureserve.org/imap/services/page/Presence/1298307.html", "View")</f>
        <v>View</v>
      </c>
      <c r="C120" t="s">
        <v>313</v>
      </c>
      <c r="D120">
        <v>1298307</v>
      </c>
      <c r="E120">
        <v>1308577</v>
      </c>
      <c r="F120" t="str">
        <f>HYPERLINK("http://imap3images.s3-website-us-east-1.amazonaws.com/1308577/p/imap_app_photo_1664823423507.jpg", "View")</f>
        <v>View</v>
      </c>
      <c r="G120" t="s">
        <v>314</v>
      </c>
      <c r="H120" t="s">
        <v>22</v>
      </c>
      <c r="I120" t="s">
        <v>23</v>
      </c>
      <c r="J120" t="s">
        <v>24</v>
      </c>
      <c r="K120" t="str">
        <f>HYPERLINK("https://www.inaturalist.org/taxa/56002-Dipsacus-fullonum", "View")</f>
        <v>View</v>
      </c>
      <c r="L120" t="s">
        <v>315</v>
      </c>
      <c r="M120" t="s">
        <v>316</v>
      </c>
      <c r="N120" t="s">
        <v>317</v>
      </c>
      <c r="O120" t="s">
        <v>318</v>
      </c>
      <c r="P120">
        <v>15.01</v>
      </c>
      <c r="Q120">
        <v>4.3600000000000003</v>
      </c>
      <c r="S120">
        <v>0</v>
      </c>
      <c r="U120" t="s">
        <v>364</v>
      </c>
      <c r="V120" t="s">
        <v>366</v>
      </c>
    </row>
    <row r="121" spans="1:22" x14ac:dyDescent="0.3">
      <c r="A121">
        <v>122</v>
      </c>
      <c r="B121" t="str">
        <f>HYPERLINK("https://imapinvasives.natureserve.org/imap/services/page/Presence/1298299.html", "View")</f>
        <v>View</v>
      </c>
      <c r="C121" t="s">
        <v>319</v>
      </c>
      <c r="D121">
        <v>1298299</v>
      </c>
      <c r="E121">
        <v>1308569</v>
      </c>
      <c r="F121" t="str">
        <f>HYPERLINK("http://imap3images.s3-website-us-east-1.amazonaws.com/1308569/p/imap_app_photo_1664823129955.jpg", "View")</f>
        <v>View</v>
      </c>
      <c r="G121" t="s">
        <v>320</v>
      </c>
      <c r="H121" t="s">
        <v>22</v>
      </c>
      <c r="I121" t="s">
        <v>23</v>
      </c>
      <c r="J121" t="s">
        <v>24</v>
      </c>
      <c r="K121" t="str">
        <f t="shared" ref="K121:K139" si="7">HYPERLINK("https://www.inaturalist.org/taxa/59778-Pastinaca-sativa", "View")</f>
        <v>View</v>
      </c>
      <c r="L121" t="s">
        <v>25</v>
      </c>
      <c r="M121" t="s">
        <v>22</v>
      </c>
      <c r="N121" t="s">
        <v>26</v>
      </c>
      <c r="O121" t="s">
        <v>24</v>
      </c>
      <c r="P121">
        <v>12.83</v>
      </c>
      <c r="Q121">
        <v>99.9</v>
      </c>
      <c r="S121">
        <v>1</v>
      </c>
      <c r="U121" t="s">
        <v>360</v>
      </c>
      <c r="V121" t="s">
        <v>361</v>
      </c>
    </row>
    <row r="122" spans="1:22" x14ac:dyDescent="0.3">
      <c r="A122">
        <v>123</v>
      </c>
      <c r="B122" t="str">
        <f>HYPERLINK("https://imapinvasives.natureserve.org/imap/services/page/Presence/1298285.html", "View")</f>
        <v>View</v>
      </c>
      <c r="C122" t="s">
        <v>321</v>
      </c>
      <c r="D122">
        <v>1298285</v>
      </c>
      <c r="E122">
        <v>1308555</v>
      </c>
      <c r="F122" t="str">
        <f>HYPERLINK("http://imap3images.s3-website-us-east-1.amazonaws.com/1308555/p/imap_app_photo_1664822698837.jpg", "View")</f>
        <v>View</v>
      </c>
      <c r="G122" t="s">
        <v>322</v>
      </c>
      <c r="H122" t="s">
        <v>22</v>
      </c>
      <c r="I122" t="s">
        <v>23</v>
      </c>
      <c r="J122" t="s">
        <v>24</v>
      </c>
      <c r="K122" t="str">
        <f t="shared" si="7"/>
        <v>View</v>
      </c>
      <c r="L122" t="s">
        <v>25</v>
      </c>
      <c r="M122" t="s">
        <v>22</v>
      </c>
      <c r="N122" t="s">
        <v>26</v>
      </c>
      <c r="O122" t="s">
        <v>24</v>
      </c>
      <c r="P122">
        <v>12.83</v>
      </c>
      <c r="Q122">
        <v>12</v>
      </c>
      <c r="S122">
        <v>1</v>
      </c>
      <c r="U122" t="s">
        <v>360</v>
      </c>
      <c r="V122" t="s">
        <v>366</v>
      </c>
    </row>
    <row r="123" spans="1:22" x14ac:dyDescent="0.3">
      <c r="A123">
        <v>124</v>
      </c>
      <c r="B123" t="str">
        <f>HYPERLINK("https://imapinvasives.natureserve.org/imap/services/page/Presence/1297450.html", "View")</f>
        <v>View</v>
      </c>
      <c r="C123" t="s">
        <v>323</v>
      </c>
      <c r="D123">
        <v>1297450</v>
      </c>
      <c r="E123">
        <v>1307687</v>
      </c>
      <c r="F123" t="str">
        <f>HYPERLINK("http://imap3images.s3-website-us-east-1.amazonaws.com/1307687/p/imap_app_photo_1664203100789.jpg", "View")</f>
        <v>View</v>
      </c>
      <c r="G123" t="s">
        <v>324</v>
      </c>
      <c r="H123" t="s">
        <v>22</v>
      </c>
      <c r="I123" t="s">
        <v>23</v>
      </c>
      <c r="J123" t="s">
        <v>24</v>
      </c>
      <c r="K123" t="str">
        <f t="shared" si="7"/>
        <v>View</v>
      </c>
      <c r="L123" t="s">
        <v>25</v>
      </c>
      <c r="M123" t="s">
        <v>22</v>
      </c>
      <c r="N123" t="s">
        <v>26</v>
      </c>
      <c r="O123" t="s">
        <v>24</v>
      </c>
      <c r="P123">
        <v>21.38</v>
      </c>
      <c r="Q123">
        <v>1.31</v>
      </c>
      <c r="S123">
        <v>1</v>
      </c>
      <c r="U123" t="s">
        <v>360</v>
      </c>
      <c r="V123" t="s">
        <v>369</v>
      </c>
    </row>
    <row r="124" spans="1:22" x14ac:dyDescent="0.3">
      <c r="A124">
        <v>125</v>
      </c>
      <c r="B124" t="str">
        <f>HYPERLINK("https://imapinvasives.natureserve.org/imap/services/page/Presence/1297348.html", "View")</f>
        <v>View</v>
      </c>
      <c r="C124" t="s">
        <v>325</v>
      </c>
      <c r="D124">
        <v>1297348</v>
      </c>
      <c r="E124">
        <v>1307584</v>
      </c>
      <c r="F124" t="str">
        <f>HYPERLINK("http://imap3images.s3-website-us-east-1.amazonaws.com/1307584/p/imap_app_photo_1664127596728.jpg", "View")</f>
        <v>View</v>
      </c>
      <c r="G124" t="s">
        <v>326</v>
      </c>
      <c r="H124" t="s">
        <v>22</v>
      </c>
      <c r="I124" t="s">
        <v>23</v>
      </c>
      <c r="J124" t="s">
        <v>24</v>
      </c>
      <c r="K124" t="str">
        <f t="shared" si="7"/>
        <v>View</v>
      </c>
      <c r="L124" t="s">
        <v>25</v>
      </c>
      <c r="M124" t="s">
        <v>22</v>
      </c>
      <c r="N124" t="s">
        <v>26</v>
      </c>
      <c r="O124" t="s">
        <v>24</v>
      </c>
      <c r="P124">
        <v>18.7</v>
      </c>
      <c r="Q124">
        <v>92.11</v>
      </c>
      <c r="S124">
        <v>1</v>
      </c>
      <c r="U124" t="s">
        <v>360</v>
      </c>
      <c r="V124" t="s">
        <v>361</v>
      </c>
    </row>
    <row r="125" spans="1:22" x14ac:dyDescent="0.3">
      <c r="A125">
        <v>126</v>
      </c>
      <c r="B125" t="str">
        <f>HYPERLINK("https://imapinvasives.natureserve.org/imap/services/page/Presence/1297315.html", "View")</f>
        <v>View</v>
      </c>
      <c r="C125" t="s">
        <v>327</v>
      </c>
      <c r="D125">
        <v>1297315</v>
      </c>
      <c r="E125">
        <v>1307550</v>
      </c>
      <c r="F125" t="str">
        <f>HYPERLINK("http://imap3images.s3-website-us-east-1.amazonaws.com/1307550/p/imap_app_photo_1664055227358.jpg", "View")</f>
        <v>View</v>
      </c>
      <c r="G125" t="s">
        <v>328</v>
      </c>
      <c r="H125" t="s">
        <v>22</v>
      </c>
      <c r="I125" t="s">
        <v>23</v>
      </c>
      <c r="J125" t="s">
        <v>24</v>
      </c>
      <c r="K125" t="str">
        <f t="shared" si="7"/>
        <v>View</v>
      </c>
      <c r="L125" t="s">
        <v>25</v>
      </c>
      <c r="M125" t="s">
        <v>22</v>
      </c>
      <c r="N125" t="s">
        <v>26</v>
      </c>
      <c r="O125" t="s">
        <v>24</v>
      </c>
      <c r="P125">
        <v>21.38</v>
      </c>
      <c r="Q125">
        <v>9.64</v>
      </c>
      <c r="S125">
        <v>1</v>
      </c>
      <c r="U125" t="s">
        <v>360</v>
      </c>
      <c r="V125" t="s">
        <v>369</v>
      </c>
    </row>
    <row r="126" spans="1:22" x14ac:dyDescent="0.3">
      <c r="A126">
        <v>127</v>
      </c>
      <c r="B126" t="str">
        <f>HYPERLINK("https://imapinvasives.natureserve.org/imap/services/page/Presence/1297310.html", "View")</f>
        <v>View</v>
      </c>
      <c r="C126" t="s">
        <v>329</v>
      </c>
      <c r="D126">
        <v>1297310</v>
      </c>
      <c r="E126">
        <v>1307545</v>
      </c>
      <c r="F126" t="str">
        <f>HYPERLINK("http://imap3images.s3-website-us-east-1.amazonaws.com/1307545/p/imap_app_photo_1664052193459.jpg", "View")</f>
        <v>View</v>
      </c>
      <c r="G126" t="s">
        <v>330</v>
      </c>
      <c r="H126" t="s">
        <v>22</v>
      </c>
      <c r="I126" t="s">
        <v>23</v>
      </c>
      <c r="J126" t="s">
        <v>24</v>
      </c>
      <c r="K126" t="str">
        <f t="shared" si="7"/>
        <v>View</v>
      </c>
      <c r="L126" t="s">
        <v>25</v>
      </c>
      <c r="M126" t="s">
        <v>22</v>
      </c>
      <c r="N126" t="s">
        <v>26</v>
      </c>
      <c r="O126" t="s">
        <v>24</v>
      </c>
      <c r="P126">
        <v>23.1</v>
      </c>
      <c r="Q126">
        <v>84.43</v>
      </c>
      <c r="S126">
        <v>1</v>
      </c>
      <c r="U126" t="s">
        <v>360</v>
      </c>
      <c r="V126" t="s">
        <v>361</v>
      </c>
    </row>
    <row r="127" spans="1:22" x14ac:dyDescent="0.3">
      <c r="A127">
        <v>128</v>
      </c>
      <c r="B127" t="str">
        <f>HYPERLINK("https://imapinvasives.natureserve.org/imap/services/page/Presence/1289155.html", "View")</f>
        <v>View</v>
      </c>
      <c r="C127" t="s">
        <v>331</v>
      </c>
      <c r="D127">
        <v>1289155</v>
      </c>
      <c r="E127">
        <v>1299250</v>
      </c>
      <c r="F127" t="str">
        <f>HYPERLINK("http://imap3images.s3-website-us-east-1.amazonaws.com/1299250/p/imap_app_photo_1661443633771.jpg", "View")</f>
        <v>View</v>
      </c>
      <c r="G127" t="s">
        <v>332</v>
      </c>
      <c r="H127" t="s">
        <v>22</v>
      </c>
      <c r="I127" t="s">
        <v>23</v>
      </c>
      <c r="J127" t="s">
        <v>24</v>
      </c>
      <c r="K127" t="str">
        <f t="shared" si="7"/>
        <v>View</v>
      </c>
      <c r="L127" t="s">
        <v>25</v>
      </c>
      <c r="M127" t="s">
        <v>22</v>
      </c>
      <c r="N127" t="s">
        <v>26</v>
      </c>
      <c r="O127" t="s">
        <v>24</v>
      </c>
      <c r="P127">
        <v>24.72</v>
      </c>
      <c r="Q127">
        <v>5.4</v>
      </c>
      <c r="S127">
        <v>1</v>
      </c>
      <c r="U127" t="s">
        <v>360</v>
      </c>
      <c r="V127" t="s">
        <v>366</v>
      </c>
    </row>
    <row r="128" spans="1:22" x14ac:dyDescent="0.3">
      <c r="A128">
        <v>129</v>
      </c>
      <c r="B128" t="str">
        <f>HYPERLINK("https://imapinvasives.natureserve.org/imap/services/page/Presence/1289152.html", "View")</f>
        <v>View</v>
      </c>
      <c r="C128" t="s">
        <v>333</v>
      </c>
      <c r="D128">
        <v>1289152</v>
      </c>
      <c r="E128">
        <v>1299247</v>
      </c>
      <c r="F128" t="str">
        <f>HYPERLINK("http://imap3images.s3-website-us-east-1.amazonaws.com/1299247/p/imap_app_photo_1661443597495.jpg", "View")</f>
        <v>View</v>
      </c>
      <c r="G128" t="s">
        <v>334</v>
      </c>
      <c r="H128" t="s">
        <v>22</v>
      </c>
      <c r="I128" t="s">
        <v>23</v>
      </c>
      <c r="J128" t="s">
        <v>24</v>
      </c>
      <c r="K128" t="str">
        <f t="shared" si="7"/>
        <v>View</v>
      </c>
      <c r="L128" t="s">
        <v>25</v>
      </c>
      <c r="M128" t="s">
        <v>22</v>
      </c>
      <c r="N128" t="s">
        <v>26</v>
      </c>
      <c r="O128" t="s">
        <v>24</v>
      </c>
      <c r="P128">
        <v>24.72</v>
      </c>
      <c r="Q128">
        <v>1.6</v>
      </c>
      <c r="S128">
        <v>1</v>
      </c>
      <c r="U128" t="s">
        <v>360</v>
      </c>
      <c r="V128" t="s">
        <v>366</v>
      </c>
    </row>
    <row r="129" spans="1:22" x14ac:dyDescent="0.3">
      <c r="A129">
        <v>130</v>
      </c>
      <c r="B129" t="str">
        <f>HYPERLINK("https://imapinvasives.natureserve.org/imap/services/page/Presence/1287151.html", "View")</f>
        <v>View</v>
      </c>
      <c r="C129" t="s">
        <v>335</v>
      </c>
      <c r="D129">
        <v>1287151</v>
      </c>
      <c r="E129">
        <v>1296971</v>
      </c>
      <c r="F129" t="str">
        <f>HYPERLINK("http://imap3images.s3-website-us-east-1.amazonaws.com/1296971/p/imap_app_photo_1660653533908.jpg", "View")</f>
        <v>View</v>
      </c>
      <c r="G129" t="s">
        <v>336</v>
      </c>
      <c r="H129" t="s">
        <v>22</v>
      </c>
      <c r="I129" t="s">
        <v>23</v>
      </c>
      <c r="J129" t="s">
        <v>24</v>
      </c>
      <c r="K129" t="str">
        <f t="shared" si="7"/>
        <v>View</v>
      </c>
      <c r="L129" t="s">
        <v>25</v>
      </c>
      <c r="M129" t="s">
        <v>22</v>
      </c>
      <c r="N129" t="s">
        <v>26</v>
      </c>
      <c r="O129" t="s">
        <v>24</v>
      </c>
      <c r="P129">
        <v>38.979999999999997</v>
      </c>
      <c r="Q129">
        <v>80.77</v>
      </c>
      <c r="S129">
        <v>1</v>
      </c>
      <c r="U129" t="s">
        <v>360</v>
      </c>
      <c r="V129" t="s">
        <v>361</v>
      </c>
    </row>
    <row r="130" spans="1:22" x14ac:dyDescent="0.3">
      <c r="A130">
        <v>131</v>
      </c>
      <c r="B130" t="str">
        <f>HYPERLINK("https://imapinvasives.natureserve.org/imap/services/page/Presence/1286597.html", "View")</f>
        <v>View</v>
      </c>
      <c r="C130" t="s">
        <v>337</v>
      </c>
      <c r="D130">
        <v>1286597</v>
      </c>
      <c r="E130">
        <v>1296343</v>
      </c>
      <c r="F130" t="str">
        <f>HYPERLINK("http://imap3images.s3-website-us-east-1.amazonaws.com/1296343/p/Photo_1.jpg", "View")</f>
        <v>View</v>
      </c>
      <c r="G130" t="s">
        <v>338</v>
      </c>
      <c r="H130" t="s">
        <v>22</v>
      </c>
      <c r="I130" t="s">
        <v>23</v>
      </c>
      <c r="J130" t="s">
        <v>24</v>
      </c>
      <c r="K130" t="str">
        <f t="shared" si="7"/>
        <v>View</v>
      </c>
      <c r="L130" t="s">
        <v>25</v>
      </c>
      <c r="M130" t="s">
        <v>22</v>
      </c>
      <c r="N130" t="s">
        <v>26</v>
      </c>
      <c r="O130" t="s">
        <v>24</v>
      </c>
      <c r="P130">
        <v>33.58</v>
      </c>
      <c r="Q130">
        <v>84.89</v>
      </c>
      <c r="S130">
        <v>1</v>
      </c>
      <c r="U130" t="s">
        <v>360</v>
      </c>
      <c r="V130" t="s">
        <v>361</v>
      </c>
    </row>
    <row r="131" spans="1:22" x14ac:dyDescent="0.3">
      <c r="A131">
        <v>132</v>
      </c>
      <c r="B131" t="str">
        <f>HYPERLINK("https://imapinvasives.natureserve.org/imap/services/page/Presence/1285999.html", "View")</f>
        <v>View</v>
      </c>
      <c r="C131" t="s">
        <v>339</v>
      </c>
      <c r="D131">
        <v>1285999</v>
      </c>
      <c r="E131">
        <v>1295722</v>
      </c>
      <c r="F131" t="str">
        <f>HYPERLINK("http://imap3images.s3-website-us-east-1.amazonaws.com/1295722/p/imap_app_photo_1660177552469.jpg", "View")</f>
        <v>View</v>
      </c>
      <c r="G131" t="s">
        <v>340</v>
      </c>
      <c r="H131" t="s">
        <v>22</v>
      </c>
      <c r="I131" t="s">
        <v>23</v>
      </c>
      <c r="J131" t="s">
        <v>24</v>
      </c>
      <c r="K131" t="str">
        <f t="shared" si="7"/>
        <v>View</v>
      </c>
      <c r="L131" t="s">
        <v>25</v>
      </c>
      <c r="M131" t="s">
        <v>22</v>
      </c>
      <c r="N131" t="s">
        <v>26</v>
      </c>
      <c r="O131" t="s">
        <v>24</v>
      </c>
      <c r="P131">
        <v>16.39</v>
      </c>
      <c r="Q131">
        <v>99.47</v>
      </c>
      <c r="S131">
        <v>1</v>
      </c>
      <c r="U131" t="s">
        <v>360</v>
      </c>
      <c r="V131" t="s">
        <v>361</v>
      </c>
    </row>
    <row r="132" spans="1:22" x14ac:dyDescent="0.3">
      <c r="A132">
        <v>133</v>
      </c>
      <c r="B132" t="str">
        <f>HYPERLINK("https://imapinvasives.natureserve.org/imap/services/page/Presence/1285987.html", "View")</f>
        <v>View</v>
      </c>
      <c r="C132" t="s">
        <v>341</v>
      </c>
      <c r="D132">
        <v>1285987</v>
      </c>
      <c r="E132">
        <v>1295710</v>
      </c>
      <c r="F132" t="str">
        <f>HYPERLINK("http://imap3images.s3-website-us-east-1.amazonaws.com/1295710/p/imap_app_photo_1660176172271.jpg", "View")</f>
        <v>View</v>
      </c>
      <c r="G132" t="s">
        <v>342</v>
      </c>
      <c r="H132" t="s">
        <v>22</v>
      </c>
      <c r="I132" t="s">
        <v>23</v>
      </c>
      <c r="J132" t="s">
        <v>24</v>
      </c>
      <c r="K132" t="str">
        <f t="shared" si="7"/>
        <v>View</v>
      </c>
      <c r="L132" t="s">
        <v>25</v>
      </c>
      <c r="M132" t="s">
        <v>22</v>
      </c>
      <c r="N132" t="s">
        <v>26</v>
      </c>
      <c r="O132" t="s">
        <v>24</v>
      </c>
      <c r="P132">
        <v>16.39</v>
      </c>
      <c r="Q132">
        <v>54.84</v>
      </c>
      <c r="S132">
        <v>1</v>
      </c>
      <c r="U132" t="s">
        <v>360</v>
      </c>
      <c r="V132" t="s">
        <v>362</v>
      </c>
    </row>
    <row r="133" spans="1:22" x14ac:dyDescent="0.3">
      <c r="A133">
        <v>134</v>
      </c>
      <c r="B133" t="str">
        <f>HYPERLINK("https://imapinvasives.natureserve.org/imap/services/page/Presence/1284991.html", "View")</f>
        <v>View</v>
      </c>
      <c r="C133" t="s">
        <v>343</v>
      </c>
      <c r="D133">
        <v>1284991</v>
      </c>
      <c r="E133">
        <v>1294571</v>
      </c>
      <c r="F133" t="str">
        <f>HYPERLINK("http://imap3images.s3-website-us-east-1.amazonaws.com/1294571/p/7C1DAA2B-5D27-458D-AB7E-D0D875F9FE35.jpeg", "View")</f>
        <v>View</v>
      </c>
      <c r="G133" t="s">
        <v>344</v>
      </c>
      <c r="H133" t="s">
        <v>22</v>
      </c>
      <c r="I133" t="s">
        <v>23</v>
      </c>
      <c r="J133" t="s">
        <v>24</v>
      </c>
      <c r="K133" t="str">
        <f t="shared" si="7"/>
        <v>View</v>
      </c>
      <c r="L133" t="s">
        <v>25</v>
      </c>
      <c r="M133" t="s">
        <v>22</v>
      </c>
      <c r="N133" t="s">
        <v>26</v>
      </c>
      <c r="O133" t="s">
        <v>24</v>
      </c>
      <c r="P133">
        <v>18.7</v>
      </c>
      <c r="Q133">
        <v>99.61</v>
      </c>
      <c r="S133">
        <v>1</v>
      </c>
      <c r="U133" t="s">
        <v>360</v>
      </c>
      <c r="V133" t="s">
        <v>361</v>
      </c>
    </row>
    <row r="134" spans="1:22" x14ac:dyDescent="0.3">
      <c r="A134">
        <v>135</v>
      </c>
      <c r="B134" t="str">
        <f>HYPERLINK("https://imapinvasives.natureserve.org/imap/services/page/Presence/1284990.html", "View")</f>
        <v>View</v>
      </c>
      <c r="C134" t="s">
        <v>345</v>
      </c>
      <c r="D134">
        <v>1284990</v>
      </c>
      <c r="E134">
        <v>1294570</v>
      </c>
      <c r="F134" t="str">
        <f>HYPERLINK("http://imap3images.s3-website-us-east-1.amazonaws.com/1294570/p/9F0BC363-959A-4A3F-905A-27D8604AC13D.jpeg", "View")</f>
        <v>View</v>
      </c>
      <c r="G134" t="s">
        <v>346</v>
      </c>
      <c r="H134" t="s">
        <v>22</v>
      </c>
      <c r="I134" t="s">
        <v>23</v>
      </c>
      <c r="J134" t="s">
        <v>24</v>
      </c>
      <c r="K134" t="str">
        <f t="shared" si="7"/>
        <v>View</v>
      </c>
      <c r="L134" t="s">
        <v>25</v>
      </c>
      <c r="M134" t="s">
        <v>22</v>
      </c>
      <c r="N134" t="s">
        <v>26</v>
      </c>
      <c r="O134" t="s">
        <v>24</v>
      </c>
      <c r="P134">
        <v>18.7</v>
      </c>
      <c r="Q134">
        <v>99.61</v>
      </c>
      <c r="S134">
        <v>1</v>
      </c>
      <c r="U134" t="s">
        <v>360</v>
      </c>
      <c r="V134" t="s">
        <v>361</v>
      </c>
    </row>
    <row r="135" spans="1:22" x14ac:dyDescent="0.3">
      <c r="A135">
        <v>136</v>
      </c>
      <c r="B135" t="str">
        <f>HYPERLINK("https://imapinvasives.natureserve.org/imap/services/page/Presence/1284982.html", "View")</f>
        <v>View</v>
      </c>
      <c r="C135" t="s">
        <v>347</v>
      </c>
      <c r="D135">
        <v>1284982</v>
      </c>
      <c r="E135">
        <v>1294562</v>
      </c>
      <c r="F135" t="str">
        <f>HYPERLINK("http://imap3images.s3-website-us-east-1.amazonaws.com/1294562/p/imap_app_photo_1659565099442.jpg", "View")</f>
        <v>View</v>
      </c>
      <c r="G135" t="s">
        <v>348</v>
      </c>
      <c r="H135" t="s">
        <v>22</v>
      </c>
      <c r="I135" t="s">
        <v>23</v>
      </c>
      <c r="J135" t="s">
        <v>24</v>
      </c>
      <c r="K135" t="str">
        <f t="shared" si="7"/>
        <v>View</v>
      </c>
      <c r="L135" t="s">
        <v>25</v>
      </c>
      <c r="M135" t="s">
        <v>22</v>
      </c>
      <c r="N135" t="s">
        <v>26</v>
      </c>
      <c r="O135" t="s">
        <v>24</v>
      </c>
      <c r="P135">
        <v>16.39</v>
      </c>
      <c r="Q135">
        <v>9.27</v>
      </c>
      <c r="S135">
        <v>1</v>
      </c>
      <c r="U135" t="s">
        <v>360</v>
      </c>
      <c r="V135" t="s">
        <v>362</v>
      </c>
    </row>
    <row r="136" spans="1:22" x14ac:dyDescent="0.3">
      <c r="A136">
        <v>137</v>
      </c>
      <c r="B136" t="str">
        <f>HYPERLINK("https://imapinvasives.natureserve.org/imap/services/page/Presence/1284583.html", "View")</f>
        <v>View</v>
      </c>
      <c r="C136" t="s">
        <v>349</v>
      </c>
      <c r="D136">
        <v>1284583</v>
      </c>
      <c r="E136">
        <v>1294163</v>
      </c>
      <c r="F136" t="str">
        <f>HYPERLINK("http://imap3images.s3-website-us-east-1.amazonaws.com/1294163/p/imap_app_photo_1659298010691.jpg", "View")</f>
        <v>View</v>
      </c>
      <c r="G136" t="s">
        <v>350</v>
      </c>
      <c r="H136" t="s">
        <v>22</v>
      </c>
      <c r="I136" t="s">
        <v>23</v>
      </c>
      <c r="J136" t="s">
        <v>24</v>
      </c>
      <c r="K136" t="str">
        <f t="shared" si="7"/>
        <v>View</v>
      </c>
      <c r="L136" t="s">
        <v>25</v>
      </c>
      <c r="M136" t="s">
        <v>22</v>
      </c>
      <c r="N136" t="s">
        <v>26</v>
      </c>
      <c r="O136" t="s">
        <v>24</v>
      </c>
      <c r="P136">
        <v>13.3</v>
      </c>
      <c r="Q136">
        <v>99.01</v>
      </c>
      <c r="S136">
        <v>1</v>
      </c>
      <c r="U136" t="s">
        <v>360</v>
      </c>
      <c r="V136" t="s">
        <v>361</v>
      </c>
    </row>
    <row r="137" spans="1:22" x14ac:dyDescent="0.3">
      <c r="A137">
        <v>138</v>
      </c>
      <c r="B137" t="str">
        <f>HYPERLINK("https://imapinvasives.natureserve.org/imap/services/page/Presence/1284475.html", "View")</f>
        <v>View</v>
      </c>
      <c r="C137" t="s">
        <v>351</v>
      </c>
      <c r="D137">
        <v>1284475</v>
      </c>
      <c r="E137">
        <v>1294055</v>
      </c>
      <c r="F137" t="str">
        <f>HYPERLINK("http://imap3images.s3-website-us-east-1.amazonaws.com/1294055/p/imap_app_photo_1659184141779.jpg", "View")</f>
        <v>View</v>
      </c>
      <c r="G137" t="s">
        <v>352</v>
      </c>
      <c r="H137" t="s">
        <v>22</v>
      </c>
      <c r="I137" t="s">
        <v>23</v>
      </c>
      <c r="J137" t="s">
        <v>24</v>
      </c>
      <c r="K137" t="str">
        <f t="shared" si="7"/>
        <v>View</v>
      </c>
      <c r="L137" t="s">
        <v>25</v>
      </c>
      <c r="M137" t="s">
        <v>22</v>
      </c>
      <c r="N137" t="s">
        <v>26</v>
      </c>
      <c r="O137" t="s">
        <v>24</v>
      </c>
      <c r="P137">
        <v>16.39</v>
      </c>
      <c r="Q137">
        <v>99</v>
      </c>
      <c r="S137">
        <v>1</v>
      </c>
      <c r="U137" t="s">
        <v>360</v>
      </c>
      <c r="V137" t="s">
        <v>361</v>
      </c>
    </row>
    <row r="138" spans="1:22" x14ac:dyDescent="0.3">
      <c r="A138">
        <v>139</v>
      </c>
      <c r="B138" t="str">
        <f>HYPERLINK("https://imapinvasives.natureserve.org/imap/services/page/Presence/1283731.html", "View")</f>
        <v>View</v>
      </c>
      <c r="C138" t="s">
        <v>353</v>
      </c>
      <c r="D138">
        <v>1283731</v>
      </c>
      <c r="E138">
        <v>1293244</v>
      </c>
      <c r="F138" t="str">
        <f>HYPERLINK("http://imap3images.s3-website-us-east-1.amazonaws.com/1293244/p/imap_app_photo_1658842693241.jpg", "View")</f>
        <v>View</v>
      </c>
      <c r="G138" t="s">
        <v>354</v>
      </c>
      <c r="H138" t="s">
        <v>22</v>
      </c>
      <c r="I138" t="s">
        <v>23</v>
      </c>
      <c r="J138" t="s">
        <v>24</v>
      </c>
      <c r="K138" t="str">
        <f t="shared" si="7"/>
        <v>View</v>
      </c>
      <c r="L138" t="s">
        <v>25</v>
      </c>
      <c r="M138" t="s">
        <v>22</v>
      </c>
      <c r="N138" t="s">
        <v>26</v>
      </c>
      <c r="O138" t="s">
        <v>24</v>
      </c>
      <c r="P138">
        <v>16.39</v>
      </c>
      <c r="Q138">
        <v>22.84</v>
      </c>
      <c r="S138">
        <v>1</v>
      </c>
      <c r="U138" t="s">
        <v>360</v>
      </c>
      <c r="V138" t="s">
        <v>362</v>
      </c>
    </row>
    <row r="139" spans="1:22" x14ac:dyDescent="0.3">
      <c r="A139">
        <v>140</v>
      </c>
      <c r="B139" t="str">
        <f>HYPERLINK("https://imapinvasives.natureserve.org/imap/services/page/Presence/1283722.html", "View")</f>
        <v>View</v>
      </c>
      <c r="C139" t="s">
        <v>355</v>
      </c>
      <c r="D139">
        <v>1283722</v>
      </c>
      <c r="E139">
        <v>1293235</v>
      </c>
      <c r="F139" t="str">
        <f>HYPERLINK("http://imap3images.s3-website-us-east-1.amazonaws.com/1293235/p/imap_app_photo_1658841855476.jpg", "View")</f>
        <v>View</v>
      </c>
      <c r="G139" t="s">
        <v>356</v>
      </c>
      <c r="H139" t="s">
        <v>22</v>
      </c>
      <c r="I139" t="s">
        <v>23</v>
      </c>
      <c r="J139" t="s">
        <v>24</v>
      </c>
      <c r="K139" t="str">
        <f t="shared" si="7"/>
        <v>View</v>
      </c>
      <c r="L139" t="s">
        <v>25</v>
      </c>
      <c r="M139" t="s">
        <v>22</v>
      </c>
      <c r="N139" t="s">
        <v>26</v>
      </c>
      <c r="O139" t="s">
        <v>24</v>
      </c>
      <c r="P139">
        <v>16.39</v>
      </c>
      <c r="Q139">
        <v>85.65</v>
      </c>
      <c r="S139">
        <v>1</v>
      </c>
      <c r="U139" t="s">
        <v>360</v>
      </c>
      <c r="V139" t="s">
        <v>361</v>
      </c>
    </row>
  </sheetData>
  <dataValidations count="2">
    <dataValidation type="list" allowBlank="1" showInputMessage="1" showErrorMessage="1" sqref="U1:U1048576" xr:uid="{0829789F-FB56-4C62-8007-A81D35B29C7A}">
      <formula1>"iMap is only correct, iNat is only correct, Both iMap and iNat correct, Both iMap and iNat incorrect, Undeterminable"</formula1>
    </dataValidation>
    <dataValidation type="list" allowBlank="1" showInputMessage="1" showErrorMessage="1" sqref="V1:V1048576" xr:uid="{E7A1D34E-0A96-4769-A7E2-2EDAF8B57EBB}">
      <formula1>"Good photo, Bad-Photo taken from long distance, Bad-Multiple focused species, Bad-limited contrast, Bad-Blur Photo, Bad-Dried Stems, Bad-Focused Different Species"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Taposh Mollick</cp:lastModifiedBy>
  <dcterms:created xsi:type="dcterms:W3CDTF">2025-06-30T03:49:58Z</dcterms:created>
  <dcterms:modified xsi:type="dcterms:W3CDTF">2025-07-02T04:36:08Z</dcterms:modified>
</cp:coreProperties>
</file>