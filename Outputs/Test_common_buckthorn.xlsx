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S.L.</t>
        </is>
      </c>
      <c r="B1" s="1" t="inlineStr">
        <is>
          <t>imaplink</t>
        </is>
      </c>
      <c r="C1" s="1" t="inlineStr">
        <is>
          <t>presenceId</t>
        </is>
      </c>
      <c r="D1" s="1" t="inlineStr">
        <is>
          <t>presentSpeciesId</t>
        </is>
      </c>
      <c r="E1" s="1" t="inlineStr">
        <is>
          <t>iMapPhoto</t>
        </is>
      </c>
      <c r="F1" s="1" t="inlineStr">
        <is>
          <t>imap_sci</t>
        </is>
      </c>
      <c r="G1" s="1" t="inlineStr">
        <is>
          <t>imap_com</t>
        </is>
      </c>
      <c r="H1" s="1" t="inlineStr">
        <is>
          <t>imap_record_taxon</t>
        </is>
      </c>
      <c r="I1" s="1" t="inlineStr">
        <is>
          <t>inatlink</t>
        </is>
      </c>
      <c r="J1" s="1" t="inlineStr">
        <is>
          <t>inat_sci</t>
        </is>
      </c>
      <c r="K1" s="1" t="inlineStr">
        <is>
          <t>inat_com</t>
        </is>
      </c>
      <c r="L1" s="1" t="inlineStr">
        <is>
          <t>inat_taxon</t>
        </is>
      </c>
      <c r="M1" s="1" t="inlineStr">
        <is>
          <t>geo_score</t>
        </is>
      </c>
      <c r="N1" s="1" t="inlineStr">
        <is>
          <t>com_score</t>
        </is>
      </c>
      <c r="O1" s="1" t="inlineStr">
        <is>
          <t>visual_model</t>
        </is>
      </c>
      <c r="P1" s="1" t="inlineStr">
        <is>
          <t>species_label</t>
        </is>
      </c>
      <c r="Q1" s="1" t="inlineStr">
        <is>
          <t>com_status</t>
        </is>
      </c>
    </row>
    <row r="2">
      <c r="A2" t="n">
        <v>1</v>
      </c>
      <c r="B2">
        <f>HYPERLINK("https://imapinvasives.natureserve.org/imap/services/page/Presence/1501228.html", "View")</f>
        <v/>
      </c>
      <c r="C2" t="n">
        <v>1501228</v>
      </c>
      <c r="D2" t="n">
        <v>1519888</v>
      </c>
      <c r="E2">
        <f>HYPERLINK("http://imap3images.s3-website-us-east-1.amazonaws.com/1519888/p/Photo_1.jpg", "View")</f>
        <v/>
      </c>
      <c r="F2" t="inlineStr">
        <is>
          <t>Rhamnus cathartica</t>
        </is>
      </c>
      <c r="G2" t="inlineStr">
        <is>
          <t>Buckthorn</t>
        </is>
      </c>
      <c r="H2" t="n">
        <v>54811</v>
      </c>
      <c r="I2">
        <f>HYPERLINK("https://www.inaturalist.org/taxa/54811-Rhamnus-cathartica", "View")</f>
        <v/>
      </c>
      <c r="J2" t="inlineStr">
        <is>
          <t>Rhamnus cathartica</t>
        </is>
      </c>
      <c r="K2" t="inlineStr">
        <is>
          <t>Common buckthorn</t>
        </is>
      </c>
      <c r="L2" t="n">
        <v>54811</v>
      </c>
      <c r="M2" t="n">
        <v>41.8</v>
      </c>
      <c r="N2" t="n">
        <v>98.87</v>
      </c>
      <c r="O2" t="inlineStr"/>
      <c r="P2" t="n">
        <v>1</v>
      </c>
      <c r="Q2" t="inlineStr"/>
    </row>
    <row r="3">
      <c r="A3" t="n">
        <v>2</v>
      </c>
      <c r="B3">
        <f>HYPERLINK("https://imapinvasives.natureserve.org/imap/services/page/Presence/1501161.html", "View")</f>
        <v/>
      </c>
      <c r="C3" t="n">
        <v>1501161</v>
      </c>
      <c r="D3" t="n">
        <v>1519821</v>
      </c>
      <c r="E3">
        <f>HYPERLINK("http://imap3images.s3-website-us-east-1.amazonaws.com/1519821/p/Photo_1.jpg", "View")</f>
        <v/>
      </c>
      <c r="F3" t="inlineStr">
        <is>
          <t>Rhamnus cathartica</t>
        </is>
      </c>
      <c r="G3" t="inlineStr">
        <is>
          <t>Buckthorn</t>
        </is>
      </c>
      <c r="H3" t="n">
        <v>54811</v>
      </c>
      <c r="I3">
        <f>HYPERLINK("https://www.inaturalist.org/taxa/54811-Rhamnus-cathartica", "View")</f>
        <v/>
      </c>
      <c r="J3" t="inlineStr">
        <is>
          <t>Rhamnus cathartica</t>
        </is>
      </c>
      <c r="K3" t="inlineStr">
        <is>
          <t>Common buckthorn</t>
        </is>
      </c>
      <c r="L3" t="n">
        <v>54811</v>
      </c>
      <c r="M3" t="n">
        <v>41.8</v>
      </c>
      <c r="N3" t="n">
        <v>72.70999999999999</v>
      </c>
      <c r="O3" t="inlineStr"/>
      <c r="P3" t="n">
        <v>1</v>
      </c>
      <c r="Q3" t="inlineStr"/>
    </row>
    <row r="4">
      <c r="A4" t="n">
        <v>3</v>
      </c>
      <c r="B4">
        <f>HYPERLINK("https://imapinvasives.natureserve.org/imap/services/page/Presence/1500895.html", "View")</f>
        <v/>
      </c>
      <c r="C4" t="n">
        <v>1500895</v>
      </c>
      <c r="D4" t="n">
        <v>1519555</v>
      </c>
      <c r="E4">
        <f>HYPERLINK("http://imap3images.s3-website-us-east-1.amazonaws.com/1519555/p/imap_app_photo_1750953430739.jpg", "View")</f>
        <v/>
      </c>
      <c r="F4" t="inlineStr">
        <is>
          <t>Rhamnus cathartica</t>
        </is>
      </c>
      <c r="G4" t="inlineStr">
        <is>
          <t>Buckthorn</t>
        </is>
      </c>
      <c r="H4" t="n">
        <v>54811</v>
      </c>
      <c r="I4">
        <f>HYPERLINK("https://www.inaturalist.org/taxa/54811-Rhamnus-cathartica", "View")</f>
        <v/>
      </c>
      <c r="J4" t="inlineStr">
        <is>
          <t>Rhamnus cathartica</t>
        </is>
      </c>
      <c r="K4" t="inlineStr">
        <is>
          <t>Common buckthorn</t>
        </is>
      </c>
      <c r="L4" t="n">
        <v>54811</v>
      </c>
      <c r="M4" t="n">
        <v>41.8</v>
      </c>
      <c r="N4" t="n">
        <v>98.26000000000001</v>
      </c>
      <c r="O4" t="inlineStr"/>
      <c r="P4" t="n">
        <v>1</v>
      </c>
      <c r="Q4" t="inlineStr"/>
    </row>
    <row r="5">
      <c r="A5" t="n">
        <v>4</v>
      </c>
      <c r="B5">
        <f>HYPERLINK("https://imapinvasives.natureserve.org/imap/services/page/Presence/1498233.html", "View")</f>
        <v/>
      </c>
      <c r="C5" t="n">
        <v>1498233</v>
      </c>
      <c r="D5" t="n">
        <v>1516198</v>
      </c>
      <c r="E5">
        <f>HYPERLINK("http://imap3images.s3-website-us-east-1.amazonaws.com/1516198/p/Photo_1.jpg", "View")</f>
        <v/>
      </c>
      <c r="F5" t="inlineStr">
        <is>
          <t>Celastrus orbiculatus</t>
        </is>
      </c>
      <c r="G5" t="inlineStr">
        <is>
          <t>Oriental Bittersweet</t>
        </is>
      </c>
      <c r="H5" t="n">
        <v>64540</v>
      </c>
      <c r="I5">
        <f>HYPERLINK("https://www.inaturalist.org/taxa/64540-Celastrus-orbiculatus", "View")</f>
        <v/>
      </c>
      <c r="J5" t="inlineStr">
        <is>
          <t>Celastrus orbiculatus</t>
        </is>
      </c>
      <c r="K5" t="inlineStr">
        <is>
          <t>Oriental bittersweet</t>
        </is>
      </c>
      <c r="L5" t="n">
        <v>64540</v>
      </c>
      <c r="M5" t="n">
        <v>72.98</v>
      </c>
      <c r="N5" t="n">
        <v>99.8</v>
      </c>
      <c r="O5" t="inlineStr"/>
      <c r="P5" t="n">
        <v>1</v>
      </c>
      <c r="Q5" t="inlineStr"/>
    </row>
    <row r="6">
      <c r="A6" t="n">
        <v>4</v>
      </c>
      <c r="B6">
        <f>HYPERLINK("https://imapinvasives.natureserve.org/imap/services/page/Presence/1498233.html", "View")</f>
        <v/>
      </c>
      <c r="C6" t="n">
        <v>1498233</v>
      </c>
      <c r="D6" t="n">
        <v>1516201</v>
      </c>
      <c r="E6">
        <f>HYPERLINK("http://imap3images.s3-website-us-east-1.amazonaws.com/1516201/p/Photo_1.jpg", "View")</f>
        <v/>
      </c>
      <c r="F6" t="inlineStr">
        <is>
          <t>Euonymus alatus</t>
        </is>
      </c>
      <c r="G6" t="inlineStr">
        <is>
          <t>Winged Spindletree</t>
        </is>
      </c>
      <c r="H6" t="n">
        <v>117433</v>
      </c>
      <c r="I6">
        <f>HYPERLINK("https://www.inaturalist.org/taxa/117433-Euonymus-alatus", "View")</f>
        <v/>
      </c>
      <c r="J6" t="inlineStr">
        <is>
          <t>Euonymus alatus</t>
        </is>
      </c>
      <c r="K6" t="inlineStr">
        <is>
          <t>Winged euonymus</t>
        </is>
      </c>
      <c r="L6" t="n">
        <v>117433</v>
      </c>
      <c r="M6" t="n">
        <v>63.86</v>
      </c>
      <c r="N6" t="n">
        <v>99.72</v>
      </c>
      <c r="O6" t="inlineStr"/>
      <c r="P6" t="n">
        <v>1</v>
      </c>
      <c r="Q6" t="inlineStr"/>
    </row>
    <row r="7">
      <c r="A7" t="n">
        <v>4</v>
      </c>
      <c r="B7">
        <f>HYPERLINK("https://imapinvasives.natureserve.org/imap/services/page/Presence/1498233.html", "View")</f>
        <v/>
      </c>
      <c r="C7" t="n">
        <v>1498233</v>
      </c>
      <c r="D7" t="n">
        <v>1516200</v>
      </c>
      <c r="E7">
        <f>HYPERLINK("http://imap3images.s3-website-us-east-1.amazonaws.com/1516200/p/Photo_1.jpg", "View")</f>
        <v/>
      </c>
      <c r="F7" t="inlineStr">
        <is>
          <t>Ligustrum spp. (species unknown)</t>
        </is>
      </c>
      <c r="G7" t="inlineStr">
        <is>
          <t>Privet (species unknown)</t>
        </is>
      </c>
      <c r="H7" t="n">
        <v>69819</v>
      </c>
      <c r="I7">
        <f>HYPERLINK("https://www.inaturalist.org/taxa/204160-Ligustrum-obtusifolium", "View")</f>
        <v/>
      </c>
      <c r="J7" t="inlineStr">
        <is>
          <t>Ligustrum obtusifolium</t>
        </is>
      </c>
      <c r="K7" t="inlineStr">
        <is>
          <t>Border privet</t>
        </is>
      </c>
      <c r="L7" t="n">
        <v>204160</v>
      </c>
      <c r="M7" t="n">
        <v>41.35</v>
      </c>
      <c r="N7" t="n">
        <v>97.20999999999999</v>
      </c>
      <c r="O7" t="inlineStr"/>
      <c r="P7" t="n">
        <v>0</v>
      </c>
      <c r="Q7" t="inlineStr"/>
    </row>
    <row r="8">
      <c r="A8" t="n">
        <v>4</v>
      </c>
      <c r="B8">
        <f>HYPERLINK("https://imapinvasives.natureserve.org/imap/services/page/Presence/1498233.html", "View")</f>
        <v/>
      </c>
      <c r="C8" t="n">
        <v>1498233</v>
      </c>
      <c r="D8" t="n">
        <v>1516199</v>
      </c>
      <c r="E8">
        <f>HYPERLINK("http://imap3images.s3-website-us-east-1.amazonaws.com/1516199/p/Photo_1.jpg", "View")</f>
        <v/>
      </c>
      <c r="F8" t="inlineStr">
        <is>
          <t>Microstegium vimineum</t>
        </is>
      </c>
      <c r="G8" t="inlineStr">
        <is>
          <t>Japanese stiltgrass; Nepalese Browntop</t>
        </is>
      </c>
      <c r="H8" t="n">
        <v>116710</v>
      </c>
      <c r="I8">
        <f>HYPERLINK("https://www.inaturalist.org/taxa/116710-Microstegium-vimineum", "View")</f>
        <v/>
      </c>
      <c r="J8" t="inlineStr">
        <is>
          <t>Microstegium vimineum</t>
        </is>
      </c>
      <c r="K8" t="inlineStr">
        <is>
          <t>Japanese stiltgrass</t>
        </is>
      </c>
      <c r="L8" t="n">
        <v>116710</v>
      </c>
      <c r="M8" t="n">
        <v>40.49</v>
      </c>
      <c r="N8" t="n">
        <v>98.29000000000001</v>
      </c>
      <c r="O8" t="inlineStr"/>
      <c r="P8" t="n">
        <v>1</v>
      </c>
      <c r="Q8" t="inlineStr"/>
    </row>
    <row r="9">
      <c r="A9" t="n">
        <v>4</v>
      </c>
      <c r="B9">
        <f>HYPERLINK("https://imapinvasives.natureserve.org/imap/services/page/Presence/1498233.html", "View")</f>
        <v/>
      </c>
      <c r="C9" t="n">
        <v>1498233</v>
      </c>
      <c r="D9" t="n">
        <v>1516202</v>
      </c>
      <c r="E9">
        <f>HYPERLINK("http://imap3images.s3-website-us-east-1.amazonaws.com/1516202/p/Photo_1.jpg", "View")</f>
        <v/>
      </c>
      <c r="F9" t="inlineStr">
        <is>
          <t>Rhamnus cathartica</t>
        </is>
      </c>
      <c r="G9" t="inlineStr">
        <is>
          <t>Buckthorn</t>
        </is>
      </c>
      <c r="H9" t="n">
        <v>54811</v>
      </c>
      <c r="I9">
        <f>HYPERLINK("https://www.inaturalist.org/taxa/54811-Rhamnus-cathartica", "View")</f>
        <v/>
      </c>
      <c r="J9" t="inlineStr">
        <is>
          <t>Rhamnus cathartica</t>
        </is>
      </c>
      <c r="K9" t="inlineStr">
        <is>
          <t>Common buckthorn</t>
        </is>
      </c>
      <c r="L9" t="n">
        <v>54811</v>
      </c>
      <c r="M9" t="n">
        <v>48.63</v>
      </c>
      <c r="N9" t="n">
        <v>96.77</v>
      </c>
      <c r="O9" t="inlineStr"/>
      <c r="P9" t="n">
        <v>1</v>
      </c>
      <c r="Q9" t="inlineStr"/>
    </row>
    <row r="10">
      <c r="A10" t="n">
        <v>5</v>
      </c>
      <c r="B10">
        <f>HYPERLINK("https://imapinvasives.natureserve.org/imap/services/page/Presence/1498229.html", "View")</f>
        <v/>
      </c>
      <c r="C10" t="n">
        <v>1498229</v>
      </c>
      <c r="D10" t="n">
        <v>1516190</v>
      </c>
      <c r="E10" t="inlineStr">
        <is>
          <t>No Photo</t>
        </is>
      </c>
      <c r="F10" t="inlineStr">
        <is>
          <t>Alliaria petiolata</t>
        </is>
      </c>
      <c r="G10" t="inlineStr">
        <is>
          <t>Garlic Mustard</t>
        </is>
      </c>
      <c r="H10" t="n">
        <v>56061</v>
      </c>
      <c r="I10" t="inlineStr">
        <is>
          <t>Unknown</t>
        </is>
      </c>
      <c r="J10" t="inlineStr">
        <is>
          <t>Unknown</t>
        </is>
      </c>
      <c r="K10" t="inlineStr">
        <is>
          <t>Unknown</t>
        </is>
      </c>
      <c r="L10" t="inlineStr">
        <is>
          <t>Unknown</t>
        </is>
      </c>
      <c r="M10" t="inlineStr">
        <is>
          <t>Unknown</t>
        </is>
      </c>
      <c r="N10" t="inlineStr">
        <is>
          <t>Unknown</t>
        </is>
      </c>
      <c r="O10" t="inlineStr"/>
      <c r="P10" t="n">
        <v>0</v>
      </c>
      <c r="Q10" t="inlineStr"/>
    </row>
    <row r="11">
      <c r="A11" t="n">
        <v>5</v>
      </c>
      <c r="B11">
        <f>HYPERLINK("https://imapinvasives.natureserve.org/imap/services/page/Presence/1498229.html", "View")</f>
        <v/>
      </c>
      <c r="C11" t="n">
        <v>1498229</v>
      </c>
      <c r="D11" t="n">
        <v>1516193</v>
      </c>
      <c r="E11" t="inlineStr">
        <is>
          <t>No Photo</t>
        </is>
      </c>
      <c r="F11" t="inlineStr">
        <is>
          <t>Artemisia vulgaris</t>
        </is>
      </c>
      <c r="G11" t="inlineStr">
        <is>
          <t>Common Wormwood</t>
        </is>
      </c>
      <c r="H11" t="n">
        <v>52856</v>
      </c>
      <c r="I11" t="inlineStr">
        <is>
          <t>Unknown</t>
        </is>
      </c>
      <c r="J11" t="inlineStr">
        <is>
          <t>Unknown</t>
        </is>
      </c>
      <c r="K11" t="inlineStr">
        <is>
          <t>Unknown</t>
        </is>
      </c>
      <c r="L11" t="inlineStr">
        <is>
          <t>Unknown</t>
        </is>
      </c>
      <c r="M11" t="inlineStr">
        <is>
          <t>Unknown</t>
        </is>
      </c>
      <c r="N11" t="inlineStr">
        <is>
          <t>Unknown</t>
        </is>
      </c>
      <c r="O11" t="inlineStr"/>
      <c r="P11" t="n">
        <v>0</v>
      </c>
      <c r="Q11" t="inlineStr"/>
    </row>
    <row r="12">
      <c r="A12" t="n">
        <v>5</v>
      </c>
      <c r="B12">
        <f>HYPERLINK("https://imapinvasives.natureserve.org/imap/services/page/Presence/1498229.html", "View")</f>
        <v/>
      </c>
      <c r="C12" t="n">
        <v>1498229</v>
      </c>
      <c r="D12" t="n">
        <v>1516191</v>
      </c>
      <c r="E12">
        <f>HYPERLINK("http://imap3images.s3-website-us-east-1.amazonaws.com/1516191/p/Photo_1_(2).jpg", "View")</f>
        <v/>
      </c>
      <c r="F12" t="inlineStr">
        <is>
          <t>Cynanchum rossicum</t>
        </is>
      </c>
      <c r="G12" t="inlineStr">
        <is>
          <t>European Swallow-wort</t>
        </is>
      </c>
      <c r="H12" t="n">
        <v>632667</v>
      </c>
      <c r="I12">
        <f>HYPERLINK("https://www.inaturalist.org/taxa/632667-Vincetoxicum-rossicum", "View")</f>
        <v/>
      </c>
      <c r="J12" t="inlineStr">
        <is>
          <t>Vincetoxicum rossicum</t>
        </is>
      </c>
      <c r="K12" t="inlineStr">
        <is>
          <t>European swallow-wort</t>
        </is>
      </c>
      <c r="L12" t="n">
        <v>632667</v>
      </c>
      <c r="M12" t="n">
        <v>13.41</v>
      </c>
      <c r="N12" t="n">
        <v>98.93000000000001</v>
      </c>
      <c r="O12" t="inlineStr"/>
      <c r="P12" t="n">
        <v>1</v>
      </c>
      <c r="Q12" t="inlineStr"/>
    </row>
    <row r="13">
      <c r="A13" t="n">
        <v>5</v>
      </c>
      <c r="B13">
        <f>HYPERLINK("https://imapinvasives.natureserve.org/imap/services/page/Presence/1498229.html", "View")</f>
        <v/>
      </c>
      <c r="C13" t="n">
        <v>1498229</v>
      </c>
      <c r="D13" t="n">
        <v>1516192</v>
      </c>
      <c r="E13">
        <f>HYPERLINK("http://imap3images.s3-website-us-east-1.amazonaws.com/1516192/p/Photo_4_(2).jpg", "View")</f>
        <v/>
      </c>
      <c r="F13" t="inlineStr">
        <is>
          <t>Lonicera spp. (species unknown)</t>
        </is>
      </c>
      <c r="G13" t="inlineStr">
        <is>
          <t>Bush Honeysuckle (species unknown)</t>
        </is>
      </c>
      <c r="H13" t="n">
        <v>51874</v>
      </c>
      <c r="I13">
        <f>HYPERLINK("https://www.inaturalist.org/taxa/64697-Elaeagnus-umbellata", "View")</f>
        <v/>
      </c>
      <c r="J13" t="inlineStr">
        <is>
          <t>Elaeagnus umbellata</t>
        </is>
      </c>
      <c r="K13" t="inlineStr">
        <is>
          <t>Autumn olive</t>
        </is>
      </c>
      <c r="L13" t="n">
        <v>64697</v>
      </c>
      <c r="M13" t="n">
        <v>26.79</v>
      </c>
      <c r="N13" t="n">
        <v>8.51</v>
      </c>
      <c r="O13" t="inlineStr"/>
      <c r="P13" t="n">
        <v>0</v>
      </c>
      <c r="Q13" t="inlineStr"/>
    </row>
    <row r="14">
      <c r="A14" t="n">
        <v>5</v>
      </c>
      <c r="B14">
        <f>HYPERLINK("https://imapinvasives.natureserve.org/imap/services/page/Presence/1498229.html", "View")</f>
        <v/>
      </c>
      <c r="C14" t="n">
        <v>1498229</v>
      </c>
      <c r="D14" t="n">
        <v>1516188</v>
      </c>
      <c r="E14">
        <f>HYPERLINK("http://imap3images.s3-website-us-east-1.amazonaws.com/1516188/p/Photo_4_(3).jpg", "View")</f>
        <v/>
      </c>
      <c r="F14" t="inlineStr">
        <is>
          <t>Rhamnus cathartica</t>
        </is>
      </c>
      <c r="G14" t="inlineStr">
        <is>
          <t>Buckthorn</t>
        </is>
      </c>
      <c r="H14" t="n">
        <v>54811</v>
      </c>
      <c r="I14">
        <f>HYPERLINK("https://www.inaturalist.org/taxa/54811-Rhamnus-cathartica", "View")</f>
        <v/>
      </c>
      <c r="J14" t="inlineStr">
        <is>
          <t>Rhamnus cathartica</t>
        </is>
      </c>
      <c r="K14" t="inlineStr">
        <is>
          <t>Common buckthorn</t>
        </is>
      </c>
      <c r="L14" t="n">
        <v>54811</v>
      </c>
      <c r="M14" t="n">
        <v>29.72</v>
      </c>
      <c r="N14" t="n">
        <v>92.89</v>
      </c>
      <c r="O14" t="inlineStr"/>
      <c r="P14" t="n">
        <v>1</v>
      </c>
      <c r="Q14" t="inlineStr"/>
    </row>
    <row r="15">
      <c r="A15" t="n">
        <v>5</v>
      </c>
      <c r="B15">
        <f>HYPERLINK("https://imapinvasives.natureserve.org/imap/services/page/Presence/1498229.html", "View")</f>
        <v/>
      </c>
      <c r="C15" t="n">
        <v>1498229</v>
      </c>
      <c r="D15" t="n">
        <v>1516189</v>
      </c>
      <c r="E15">
        <f>HYPERLINK("http://imap3images.s3-website-us-east-1.amazonaws.com/1516189/p/Photo_3_(3).jpg", "View")</f>
        <v/>
      </c>
      <c r="F15" t="inlineStr">
        <is>
          <t>Rosa multiflora</t>
        </is>
      </c>
      <c r="G15" t="inlineStr">
        <is>
          <t>Multiflora Rose</t>
        </is>
      </c>
      <c r="H15" t="n">
        <v>78882</v>
      </c>
      <c r="I15">
        <f>HYPERLINK("https://www.inaturalist.org/taxa/78882-Rosa-multiflora", "View")</f>
        <v/>
      </c>
      <c r="J15" t="inlineStr">
        <is>
          <t>Rosa multiflora</t>
        </is>
      </c>
      <c r="K15" t="inlineStr">
        <is>
          <t>Multiflora rose</t>
        </is>
      </c>
      <c r="L15" t="n">
        <v>78882</v>
      </c>
      <c r="M15" t="n">
        <v>41.37</v>
      </c>
      <c r="N15" t="n">
        <v>99.78</v>
      </c>
      <c r="O15" t="inlineStr"/>
      <c r="P15" t="n">
        <v>1</v>
      </c>
      <c r="Q15" t="inlineStr"/>
    </row>
    <row r="16">
      <c r="A16" t="n">
        <v>6</v>
      </c>
      <c r="B16">
        <f>HYPERLINK("https://imapinvasives.natureserve.org/imap/services/page/Presence/1497823.html", "View")</f>
        <v/>
      </c>
      <c r="C16" t="n">
        <v>1497823</v>
      </c>
      <c r="D16" t="n">
        <v>1515706</v>
      </c>
      <c r="E16">
        <f>HYPERLINK("http://imap3images.s3-website-us-east-1.amazonaws.com/1515706/p/imap_app_photo_1747941778999.jpg", "View")</f>
        <v/>
      </c>
      <c r="F16" t="inlineStr">
        <is>
          <t>Rhamnus cathartica</t>
        </is>
      </c>
      <c r="G16" t="inlineStr">
        <is>
          <t>Buckthorn</t>
        </is>
      </c>
      <c r="H16" t="n">
        <v>54811</v>
      </c>
      <c r="I16">
        <f>HYPERLINK("https://www.inaturalist.org/taxa/54811-Rhamnus-cathartica", "View")</f>
        <v/>
      </c>
      <c r="J16" t="inlineStr">
        <is>
          <t>Rhamnus cathartica</t>
        </is>
      </c>
      <c r="K16" t="inlineStr">
        <is>
          <t>Common buckthorn</t>
        </is>
      </c>
      <c r="L16" t="n">
        <v>54811</v>
      </c>
      <c r="M16" t="n">
        <v>52.34</v>
      </c>
      <c r="N16" t="n">
        <v>96.45</v>
      </c>
      <c r="O16" t="inlineStr"/>
      <c r="P16" t="n">
        <v>1</v>
      </c>
      <c r="Q16" t="inlineStr"/>
    </row>
    <row r="17">
      <c r="A17" t="n">
        <v>7</v>
      </c>
      <c r="B17">
        <f>HYPERLINK("https://imapinvasives.natureserve.org/imap/services/page/Presence/1497705.html", "View")</f>
        <v/>
      </c>
      <c r="C17" t="n">
        <v>1497705</v>
      </c>
      <c r="D17" t="n">
        <v>1515583</v>
      </c>
      <c r="E17">
        <f>HYPERLINK("http://imap3images.s3-website-us-east-1.amazonaws.com/1515583/p/imap_app_photo_1747767743736.jpg", "View")</f>
        <v/>
      </c>
      <c r="F17" t="inlineStr">
        <is>
          <t>Rhamnus cathartica</t>
        </is>
      </c>
      <c r="G17" t="inlineStr">
        <is>
          <t>Buckthorn</t>
        </is>
      </c>
      <c r="H17" t="n">
        <v>54811</v>
      </c>
      <c r="I17">
        <f>HYPERLINK("https://www.inaturalist.org/taxa/54811-Rhamnus-cathartica", "View")</f>
        <v/>
      </c>
      <c r="J17" t="inlineStr">
        <is>
          <t>Rhamnus cathartica</t>
        </is>
      </c>
      <c r="K17" t="inlineStr">
        <is>
          <t>Common buckthorn</t>
        </is>
      </c>
      <c r="L17" t="n">
        <v>54811</v>
      </c>
      <c r="M17" t="n">
        <v>38.29</v>
      </c>
      <c r="N17" t="n">
        <v>97.25</v>
      </c>
      <c r="O17" t="inlineStr"/>
      <c r="P17" t="n">
        <v>1</v>
      </c>
      <c r="Q17" t="inlineStr"/>
    </row>
    <row r="18">
      <c r="A18" t="n">
        <v>8</v>
      </c>
      <c r="B18">
        <f>HYPERLINK("https://imapinvasives.natureserve.org/imap/services/page/Presence/1497677.html", "View")</f>
        <v/>
      </c>
      <c r="C18" t="n">
        <v>1497677</v>
      </c>
      <c r="D18" t="n">
        <v>1515555</v>
      </c>
      <c r="E18">
        <f>HYPERLINK("http://imap3images.s3-website-us-east-1.amazonaws.com/1515555/p/imap_app_photo_1747744531397.jpg", "View")</f>
        <v/>
      </c>
      <c r="F18" t="inlineStr">
        <is>
          <t>Rhamnus cathartica</t>
        </is>
      </c>
      <c r="G18" t="inlineStr">
        <is>
          <t>Buckthorn</t>
        </is>
      </c>
      <c r="H18" t="n">
        <v>54811</v>
      </c>
      <c r="I18">
        <f>HYPERLINK("https://www.inaturalist.org/taxa/54811-Rhamnus-cathartica", "View")</f>
        <v/>
      </c>
      <c r="J18" t="inlineStr">
        <is>
          <t>Rhamnus cathartica</t>
        </is>
      </c>
      <c r="K18" t="inlineStr">
        <is>
          <t>Common buckthorn</t>
        </is>
      </c>
      <c r="L18" t="n">
        <v>54811</v>
      </c>
      <c r="M18" t="n">
        <v>52.34</v>
      </c>
      <c r="N18" t="n">
        <v>99.05</v>
      </c>
      <c r="O18" t="inlineStr"/>
      <c r="P18" t="n">
        <v>1</v>
      </c>
      <c r="Q18" t="inlineStr"/>
    </row>
    <row r="19">
      <c r="A19" t="n">
        <v>9</v>
      </c>
      <c r="B19">
        <f>HYPERLINK("https://imapinvasives.natureserve.org/imap/services/page/Presence/1497675.html", "View")</f>
        <v/>
      </c>
      <c r="C19" t="n">
        <v>1497675</v>
      </c>
      <c r="D19" t="n">
        <v>1515553</v>
      </c>
      <c r="E19">
        <f>HYPERLINK("http://imap3images.s3-website-us-east-1.amazonaws.com/1515553/p/imap_app_photo_1747744517270.jpg", "View")</f>
        <v/>
      </c>
      <c r="F19" t="inlineStr">
        <is>
          <t>Rhamnus cathartica</t>
        </is>
      </c>
      <c r="G19" t="inlineStr">
        <is>
          <t>Buckthorn</t>
        </is>
      </c>
      <c r="H19" t="n">
        <v>54811</v>
      </c>
      <c r="I19">
        <f>HYPERLINK("https://www.inaturalist.org/taxa/54811-Rhamnus-cathartica", "View")</f>
        <v/>
      </c>
      <c r="J19" t="inlineStr">
        <is>
          <t>Rhamnus cathartica</t>
        </is>
      </c>
      <c r="K19" t="inlineStr">
        <is>
          <t>Common buckthorn</t>
        </is>
      </c>
      <c r="L19" t="n">
        <v>54811</v>
      </c>
      <c r="M19" t="n">
        <v>52.34</v>
      </c>
      <c r="N19" t="n">
        <v>75.45</v>
      </c>
      <c r="O19" t="inlineStr"/>
      <c r="P19" t="n">
        <v>1</v>
      </c>
      <c r="Q19" t="inlineStr"/>
    </row>
    <row r="20">
      <c r="A20" t="n">
        <v>10</v>
      </c>
      <c r="B20">
        <f>HYPERLINK("https://imapinvasives.natureserve.org/imap/services/page/Presence/1497673.html", "View")</f>
        <v/>
      </c>
      <c r="C20" t="n">
        <v>1497673</v>
      </c>
      <c r="D20" t="n">
        <v>1515551</v>
      </c>
      <c r="E20">
        <f>HYPERLINK("http://imap3images.s3-website-us-east-1.amazonaws.com/1515551/p/imap_app_photo_1747744502938.jpg", "View")</f>
        <v/>
      </c>
      <c r="F20" t="inlineStr">
        <is>
          <t>Rhamnus cathartica</t>
        </is>
      </c>
      <c r="G20" t="inlineStr">
        <is>
          <t>Buckthorn</t>
        </is>
      </c>
      <c r="H20" t="n">
        <v>54811</v>
      </c>
      <c r="I20">
        <f>HYPERLINK("https://www.inaturalist.org/taxa/54811-Rhamnus-cathartica", "View")</f>
        <v/>
      </c>
      <c r="J20" t="inlineStr">
        <is>
          <t>Rhamnus cathartica</t>
        </is>
      </c>
      <c r="K20" t="inlineStr">
        <is>
          <t>Common buckthorn</t>
        </is>
      </c>
      <c r="L20" t="n">
        <v>54811</v>
      </c>
      <c r="M20" t="n">
        <v>52.34</v>
      </c>
      <c r="N20" t="n">
        <v>97.97</v>
      </c>
      <c r="O20" t="inlineStr"/>
      <c r="P20" t="n">
        <v>1</v>
      </c>
      <c r="Q20" t="inlineStr"/>
    </row>
    <row r="21">
      <c r="A21" t="n">
        <v>11</v>
      </c>
      <c r="B21">
        <f>HYPERLINK("https://imapinvasives.natureserve.org/imap/services/page/Presence/1497671.html", "View")</f>
        <v/>
      </c>
      <c r="C21" t="n">
        <v>1497671</v>
      </c>
      <c r="D21" t="n">
        <v>1515549</v>
      </c>
      <c r="E21">
        <f>HYPERLINK("http://imap3images.s3-website-us-east-1.amazonaws.com/1515549/p/imap_app_photo_1747744485532.jpg", "View")</f>
        <v/>
      </c>
      <c r="F21" t="inlineStr">
        <is>
          <t>Rhamnus cathartica</t>
        </is>
      </c>
      <c r="G21" t="inlineStr">
        <is>
          <t>Buckthorn</t>
        </is>
      </c>
      <c r="H21" t="n">
        <v>54811</v>
      </c>
      <c r="I21">
        <f>HYPERLINK("https://www.inaturalist.org/taxa/54811-Rhamnus-cathartica", "View")</f>
        <v/>
      </c>
      <c r="J21" t="inlineStr">
        <is>
          <t>Rhamnus cathartica</t>
        </is>
      </c>
      <c r="K21" t="inlineStr">
        <is>
          <t>Common buckthorn</t>
        </is>
      </c>
      <c r="L21" t="n">
        <v>54811</v>
      </c>
      <c r="M21" t="n">
        <v>52.34</v>
      </c>
      <c r="N21" t="n">
        <v>99.27</v>
      </c>
      <c r="O21" t="inlineStr"/>
      <c r="P21" t="n">
        <v>1</v>
      </c>
      <c r="Q21" t="inlineStr"/>
    </row>
    <row r="22">
      <c r="A22" t="n">
        <v>12</v>
      </c>
      <c r="B22">
        <f>HYPERLINK("https://imapinvasives.natureserve.org/imap/services/page/Presence/1497669.html", "View")</f>
        <v/>
      </c>
      <c r="C22" t="n">
        <v>1497669</v>
      </c>
      <c r="D22" t="n">
        <v>1515547</v>
      </c>
      <c r="E22">
        <f>HYPERLINK("http://imap3images.s3-website-us-east-1.amazonaws.com/1515547/p/imap_app_photo_1747744466150.jpg", "View")</f>
        <v/>
      </c>
      <c r="F22" t="inlineStr">
        <is>
          <t>Rhamnus cathartica</t>
        </is>
      </c>
      <c r="G22" t="inlineStr">
        <is>
          <t>Buckthorn</t>
        </is>
      </c>
      <c r="H22" t="n">
        <v>54811</v>
      </c>
      <c r="I22">
        <f>HYPERLINK("https://www.inaturalist.org/taxa/54811-Rhamnus-cathartica", "View")</f>
        <v/>
      </c>
      <c r="J22" t="inlineStr">
        <is>
          <t>Rhamnus cathartica</t>
        </is>
      </c>
      <c r="K22" t="inlineStr">
        <is>
          <t>Common buckthorn</t>
        </is>
      </c>
      <c r="L22" t="n">
        <v>54811</v>
      </c>
      <c r="M22" t="n">
        <v>52.34</v>
      </c>
      <c r="N22" t="n">
        <v>99.16</v>
      </c>
      <c r="O22" t="inlineStr"/>
      <c r="P22" t="n">
        <v>1</v>
      </c>
      <c r="Q22" t="inlineStr"/>
    </row>
    <row r="23">
      <c r="A23" t="n">
        <v>13</v>
      </c>
      <c r="B23">
        <f>HYPERLINK("https://imapinvasives.natureserve.org/imap/services/page/Presence/1497360.html", "View")</f>
        <v/>
      </c>
      <c r="C23" t="n">
        <v>1497360</v>
      </c>
      <c r="D23" t="n">
        <v>1515138</v>
      </c>
      <c r="E23">
        <f>HYPERLINK("http://imap3images.s3-website-us-east-1.amazonaws.com/1515138/p/imap_app_photo_1746714428984.jpg", "View")</f>
        <v/>
      </c>
      <c r="F23" t="inlineStr">
        <is>
          <t>Rhamnus cathartica</t>
        </is>
      </c>
      <c r="G23" t="inlineStr">
        <is>
          <t>Buckthorn</t>
        </is>
      </c>
      <c r="H23" t="n">
        <v>54811</v>
      </c>
      <c r="I23">
        <f>HYPERLINK("https://www.inaturalist.org/taxa/54811-Rhamnus-cathartica", "View")</f>
        <v/>
      </c>
      <c r="J23" t="inlineStr">
        <is>
          <t>Rhamnus cathartica</t>
        </is>
      </c>
      <c r="K23" t="inlineStr">
        <is>
          <t>Common buckthorn</t>
        </is>
      </c>
      <c r="L23" t="n">
        <v>54811</v>
      </c>
      <c r="M23" t="n">
        <v>36.91</v>
      </c>
      <c r="N23" t="n">
        <v>99.54000000000001</v>
      </c>
      <c r="O23" t="inlineStr"/>
      <c r="P23" t="n">
        <v>1</v>
      </c>
      <c r="Q23" t="inlineStr"/>
    </row>
    <row r="24">
      <c r="A24" t="n">
        <v>14</v>
      </c>
      <c r="B24">
        <f>HYPERLINK("https://imapinvasives.natureserve.org/imap/services/page/Presence/1497319.html", "View")</f>
        <v/>
      </c>
      <c r="C24" t="n">
        <v>1497319</v>
      </c>
      <c r="D24" t="n">
        <v>1515094</v>
      </c>
      <c r="E24">
        <f>HYPERLINK("http://imap3images.s3-website-us-east-1.amazonaws.com/1515094/p/imap_app_photo_1746619440015.jpg", "View")</f>
        <v/>
      </c>
      <c r="F24" t="inlineStr">
        <is>
          <t>Rhamnus cathartica</t>
        </is>
      </c>
      <c r="G24" t="inlineStr">
        <is>
          <t>Buckthorn</t>
        </is>
      </c>
      <c r="H24" t="n">
        <v>54811</v>
      </c>
      <c r="I24">
        <f>HYPERLINK("https://www.inaturalist.org/taxa/54811-Rhamnus-cathartica", "View")</f>
        <v/>
      </c>
      <c r="J24" t="inlineStr">
        <is>
          <t>Rhamnus cathartica</t>
        </is>
      </c>
      <c r="K24" t="inlineStr">
        <is>
          <t>Common buckthorn</t>
        </is>
      </c>
      <c r="L24" t="n">
        <v>54811</v>
      </c>
      <c r="M24" t="n">
        <v>48.44</v>
      </c>
      <c r="N24" t="n">
        <v>82.98</v>
      </c>
      <c r="O24" t="inlineStr"/>
      <c r="P24" t="n">
        <v>1</v>
      </c>
      <c r="Q24" t="inlineStr"/>
    </row>
    <row r="25">
      <c r="A25" t="n">
        <v>15</v>
      </c>
      <c r="B25">
        <f>HYPERLINK("https://imapinvasives.natureserve.org/imap/services/page/Presence/1497317.html", "View")</f>
        <v/>
      </c>
      <c r="C25" t="n">
        <v>1497317</v>
      </c>
      <c r="D25" t="n">
        <v>1515092</v>
      </c>
      <c r="E25">
        <f>HYPERLINK("http://imap3images.s3-website-us-east-1.amazonaws.com/1515092/p/imap_app_photo_1746619319916.jpg", "View")</f>
        <v/>
      </c>
      <c r="F25" t="inlineStr">
        <is>
          <t>Rhamnus cathartica</t>
        </is>
      </c>
      <c r="G25" t="inlineStr">
        <is>
          <t>Buckthorn</t>
        </is>
      </c>
      <c r="H25" t="n">
        <v>54811</v>
      </c>
      <c r="I25">
        <f>HYPERLINK("https://www.inaturalist.org/taxa/54811-Rhamnus-cathartica", "View")</f>
        <v/>
      </c>
      <c r="J25" t="inlineStr">
        <is>
          <t>Rhamnus cathartica</t>
        </is>
      </c>
      <c r="K25" t="inlineStr">
        <is>
          <t>Common buckthorn</t>
        </is>
      </c>
      <c r="L25" t="n">
        <v>54811</v>
      </c>
      <c r="M25" t="n">
        <v>48.44</v>
      </c>
      <c r="N25" t="n">
        <v>98.7</v>
      </c>
      <c r="O25" t="inlineStr"/>
      <c r="P25" t="n">
        <v>1</v>
      </c>
      <c r="Q25" t="inlineStr"/>
    </row>
    <row r="26">
      <c r="A26" t="n">
        <v>16</v>
      </c>
      <c r="B26">
        <f>HYPERLINK("https://imapinvasives.natureserve.org/imap/services/page/Presence/1497302.html", "View")</f>
        <v/>
      </c>
      <c r="C26" t="n">
        <v>1497302</v>
      </c>
      <c r="D26" t="n">
        <v>1515075</v>
      </c>
      <c r="E26">
        <f>HYPERLINK("http://imap3images.s3-website-us-east-1.amazonaws.com/1515075/p/imap_app_photo_1746572037774.jpg", "View")</f>
        <v/>
      </c>
      <c r="F26" t="inlineStr">
        <is>
          <t>Rhamnus cathartica</t>
        </is>
      </c>
      <c r="G26" t="inlineStr">
        <is>
          <t>Buckthorn</t>
        </is>
      </c>
      <c r="H26" t="n">
        <v>54811</v>
      </c>
      <c r="I26">
        <f>HYPERLINK("https://www.inaturalist.org/taxa/54811-Rhamnus-cathartica", "View")</f>
        <v/>
      </c>
      <c r="J26" t="inlineStr">
        <is>
          <t>Rhamnus cathartica</t>
        </is>
      </c>
      <c r="K26" t="inlineStr">
        <is>
          <t>Common buckthorn</t>
        </is>
      </c>
      <c r="L26" t="n">
        <v>54811</v>
      </c>
      <c r="M26" t="n">
        <v>52.34</v>
      </c>
      <c r="N26" t="n">
        <v>97.79000000000001</v>
      </c>
      <c r="O26" t="inlineStr"/>
      <c r="P26" t="n">
        <v>1</v>
      </c>
      <c r="Q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2025-06-27T14:01:31Z</dcterms:created>
  <dcterms:modified xmlns:dcterms="http://purl.org/dc/terms/" xmlns:xsi="http://www.w3.org/2001/XMLSchema-instance" xsi:type="dcterms:W3CDTF">2025-06-27T14:01:31Z</dcterms:modified>
</cp:coreProperties>
</file>