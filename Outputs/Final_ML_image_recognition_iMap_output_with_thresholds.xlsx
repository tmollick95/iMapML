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S.L.</t>
        </is>
      </c>
      <c r="B1" t="inlineStr">
        <is>
          <t>imaplink</t>
        </is>
      </c>
      <c r="C1" t="inlineStr">
        <is>
          <t>imaplink_raw</t>
        </is>
      </c>
      <c r="D1" t="inlineStr">
        <is>
          <t>presenceId</t>
        </is>
      </c>
      <c r="E1" t="inlineStr">
        <is>
          <t>presentSpeciesId</t>
        </is>
      </c>
      <c r="F1" t="inlineStr">
        <is>
          <t>iMapPhoto</t>
        </is>
      </c>
      <c r="G1" t="inlineStr">
        <is>
          <t>iMapPhoto_raw</t>
        </is>
      </c>
      <c r="H1" t="inlineStr">
        <is>
          <t>imap_sci</t>
        </is>
      </c>
      <c r="I1" t="inlineStr">
        <is>
          <t>imap_com</t>
        </is>
      </c>
      <c r="J1" t="inlineStr">
        <is>
          <t>imap_record_taxon</t>
        </is>
      </c>
      <c r="K1" t="inlineStr">
        <is>
          <t>inatlink</t>
        </is>
      </c>
      <c r="L1" t="inlineStr">
        <is>
          <t>inatlink_raw</t>
        </is>
      </c>
      <c r="M1" t="inlineStr">
        <is>
          <t>inat_sci</t>
        </is>
      </c>
      <c r="N1" t="inlineStr">
        <is>
          <t>inat_com</t>
        </is>
      </c>
      <c r="O1" t="inlineStr">
        <is>
          <t>inat_taxon</t>
        </is>
      </c>
      <c r="P1" t="inlineStr">
        <is>
          <t>geo_score</t>
        </is>
      </c>
      <c r="Q1" t="inlineStr">
        <is>
          <t>com_score</t>
        </is>
      </c>
      <c r="R1" t="inlineStr">
        <is>
          <t>species_label</t>
        </is>
      </c>
      <c r="S1" t="inlineStr">
        <is>
          <t>com_status</t>
        </is>
      </c>
      <c r="T1" t="inlineStr">
        <is>
          <t>NYS_Tier</t>
        </is>
      </c>
      <c r="U1" t="inlineStr">
        <is>
          <t>Species_selected_threshold</t>
        </is>
      </c>
      <c r="V1" t="inlineStr">
        <is>
          <t>Geo_score_mean</t>
        </is>
      </c>
      <c r="W1" t="inlineStr">
        <is>
          <t>Com_score_above_or_below</t>
        </is>
      </c>
      <c r="X1" t="inlineStr">
        <is>
          <t>Geo_score_above_or_below</t>
        </is>
      </c>
      <c r="Y1" t="inlineStr">
        <is>
          <t>Recommended_status</t>
        </is>
      </c>
    </row>
    <row r="2">
      <c r="A2" t="n">
        <v>1</v>
      </c>
      <c r="B2">
        <f>HYPERLINK("https://imapinvasives.natureserve.org/imap/services/page/Presence/1495997.html", "View")</f>
        <v/>
      </c>
      <c r="C2" t="inlineStr">
        <is>
          <t>https://imapinvasives.natureserve.org/imap/services/page/Presence/1495997.html</t>
        </is>
      </c>
      <c r="D2" t="n">
        <v>1495997</v>
      </c>
      <c r="E2" t="n">
        <v>1513583</v>
      </c>
      <c r="F2">
        <f>HYPERLINK("http://imap3images.s3-website-us-east-1.amazonaws.com/1513583/p/imap_app_photo_1745365641102.jpg", "View")</f>
        <v/>
      </c>
      <c r="G2" t="inlineStr">
        <is>
          <t>http://imap3images.s3-website-us-east-1.amazonaws.com/1513583/p/imap_app_photo_1745365641102.jpg</t>
        </is>
      </c>
      <c r="H2" t="inlineStr">
        <is>
          <t>Rhamnus cathartica</t>
        </is>
      </c>
      <c r="I2" t="inlineStr">
        <is>
          <t>Buckthorn</t>
        </is>
      </c>
      <c r="J2" t="inlineStr">
        <is>
          <t>54811</t>
        </is>
      </c>
      <c r="K2">
        <f>HYPERLINK("https://www.inaturalist.org/taxa/54811-Rhamnus-cathartica", "View")</f>
        <v/>
      </c>
      <c r="L2" t="inlineStr">
        <is>
          <t>https://www.inaturalist.org/taxa/54811-Rhamnus-cathartica</t>
        </is>
      </c>
      <c r="M2" t="inlineStr">
        <is>
          <t>Rhamnus cathartica</t>
        </is>
      </c>
      <c r="N2" t="inlineStr">
        <is>
          <t>Common buckthorn</t>
        </is>
      </c>
      <c r="O2" t="inlineStr">
        <is>
          <t>54811</t>
        </is>
      </c>
      <c r="P2" t="n">
        <v>58.61</v>
      </c>
      <c r="Q2" t="n">
        <v>1.83</v>
      </c>
      <c r="R2" t="n">
        <v>1</v>
      </c>
      <c r="S2" t="inlineStr">
        <is>
          <t>Match</t>
        </is>
      </c>
      <c r="T2" t="inlineStr">
        <is>
          <t>4</t>
        </is>
      </c>
      <c r="U2" t="n">
        <v>81.5</v>
      </c>
      <c r="V2" t="n">
        <v>31.47</v>
      </c>
      <c r="W2" t="inlineStr">
        <is>
          <t>Below</t>
        </is>
      </c>
      <c r="X2" t="inlineStr">
        <is>
          <t>Above</t>
        </is>
      </c>
      <c r="Y2" t="inlineStr">
        <is>
          <t>Manual review</t>
        </is>
      </c>
    </row>
    <row r="3">
      <c r="A3" t="n">
        <v>2</v>
      </c>
      <c r="B3">
        <f>HYPERLINK("https://imapinvasives.natureserve.org/imap/services/page/Presence/1495996.html", "View")</f>
        <v/>
      </c>
      <c r="C3" t="inlineStr">
        <is>
          <t>https://imapinvasives.natureserve.org/imap/services/page/Presence/1495996.html</t>
        </is>
      </c>
      <c r="D3" t="n">
        <v>1495996</v>
      </c>
      <c r="E3" t="n">
        <v>1513582</v>
      </c>
      <c r="F3">
        <f>HYPERLINK("http://imap3images.s3-website-us-east-1.amazonaws.com/1513582/p/imap_app_photo_1745365634145.jpg", "View")</f>
        <v/>
      </c>
      <c r="G3" t="inlineStr">
        <is>
          <t>http://imap3images.s3-website-us-east-1.amazonaws.com/1513582/p/imap_app_photo_1745365634145.jpg</t>
        </is>
      </c>
      <c r="H3" t="inlineStr">
        <is>
          <t>Rhamnus cathartica</t>
        </is>
      </c>
      <c r="I3" t="inlineStr">
        <is>
          <t>Buckthorn</t>
        </is>
      </c>
      <c r="J3" t="inlineStr">
        <is>
          <t>54811</t>
        </is>
      </c>
      <c r="K3">
        <f>HYPERLINK("https://www.inaturalist.org/taxa/54811-Rhamnus-cathartica", "View")</f>
        <v/>
      </c>
      <c r="L3" t="inlineStr">
        <is>
          <t>https://www.inaturalist.org/taxa/54811-Rhamnus-cathartica</t>
        </is>
      </c>
      <c r="M3" t="inlineStr">
        <is>
          <t>Rhamnus cathartica</t>
        </is>
      </c>
      <c r="N3" t="inlineStr">
        <is>
          <t>Common buckthorn</t>
        </is>
      </c>
      <c r="O3" t="inlineStr">
        <is>
          <t>54811</t>
        </is>
      </c>
      <c r="P3" t="n">
        <v>58.61</v>
      </c>
      <c r="Q3" t="n">
        <v>4.67</v>
      </c>
      <c r="R3" t="n">
        <v>1</v>
      </c>
      <c r="S3" t="inlineStr">
        <is>
          <t>Match</t>
        </is>
      </c>
      <c r="T3" t="inlineStr">
        <is>
          <t>4</t>
        </is>
      </c>
      <c r="U3" t="n">
        <v>81.5</v>
      </c>
      <c r="V3" t="n">
        <v>31.47</v>
      </c>
      <c r="W3" t="inlineStr">
        <is>
          <t>Below</t>
        </is>
      </c>
      <c r="X3" t="inlineStr">
        <is>
          <t>Above</t>
        </is>
      </c>
      <c r="Y3" t="inlineStr">
        <is>
          <t>Manual review</t>
        </is>
      </c>
    </row>
    <row r="4">
      <c r="A4" t="n">
        <v>3</v>
      </c>
      <c r="B4">
        <f>HYPERLINK("https://imapinvasives.natureserve.org/imap/services/page/Presence/1495995.html", "View")</f>
        <v/>
      </c>
      <c r="C4" t="inlineStr">
        <is>
          <t>https://imapinvasives.natureserve.org/imap/services/page/Presence/1495995.html</t>
        </is>
      </c>
      <c r="D4" t="n">
        <v>1495995</v>
      </c>
      <c r="E4" t="n">
        <v>1513581</v>
      </c>
      <c r="F4">
        <f>HYPERLINK("http://imap3images.s3-website-us-east-1.amazonaws.com/1513581/p/imap_app_photo_1745365628701.jpg", "View")</f>
        <v/>
      </c>
      <c r="G4" t="inlineStr">
        <is>
          <t>http://imap3images.s3-website-us-east-1.amazonaws.com/1513581/p/imap_app_photo_1745365628701.jpg</t>
        </is>
      </c>
      <c r="H4" t="inlineStr">
        <is>
          <t>Rhamnus cathartica</t>
        </is>
      </c>
      <c r="I4" t="inlineStr">
        <is>
          <t>Buckthorn</t>
        </is>
      </c>
      <c r="J4" t="inlineStr">
        <is>
          <t>54811</t>
        </is>
      </c>
      <c r="K4">
        <f>HYPERLINK("https://www.inaturalist.org/taxa/54811-Rhamnus-cathartica", "View")</f>
        <v/>
      </c>
      <c r="L4" t="inlineStr">
        <is>
          <t>https://www.inaturalist.org/taxa/54811-Rhamnus-cathartica</t>
        </is>
      </c>
      <c r="M4" t="inlineStr">
        <is>
          <t>Rhamnus cathartica</t>
        </is>
      </c>
      <c r="N4" t="inlineStr">
        <is>
          <t>Common buckthorn</t>
        </is>
      </c>
      <c r="O4" t="inlineStr">
        <is>
          <t>54811</t>
        </is>
      </c>
      <c r="P4" t="n">
        <v>58.61</v>
      </c>
      <c r="Q4" t="n">
        <v>2.65</v>
      </c>
      <c r="R4" t="n">
        <v>1</v>
      </c>
      <c r="S4" t="inlineStr">
        <is>
          <t>Match</t>
        </is>
      </c>
      <c r="T4" t="inlineStr">
        <is>
          <t>4</t>
        </is>
      </c>
      <c r="U4" t="n">
        <v>81.5</v>
      </c>
      <c r="V4" t="n">
        <v>31.47</v>
      </c>
      <c r="W4" t="inlineStr">
        <is>
          <t>Below</t>
        </is>
      </c>
      <c r="X4" t="inlineStr">
        <is>
          <t>Above</t>
        </is>
      </c>
      <c r="Y4" t="inlineStr">
        <is>
          <t>Manual review</t>
        </is>
      </c>
    </row>
    <row r="5">
      <c r="A5" t="n">
        <v>4</v>
      </c>
      <c r="B5">
        <f>HYPERLINK("https://imapinvasives.natureserve.org/imap/services/page/Presence/1495994.html", "View")</f>
        <v/>
      </c>
      <c r="C5" t="inlineStr">
        <is>
          <t>https://imapinvasives.natureserve.org/imap/services/page/Presence/1495994.html</t>
        </is>
      </c>
      <c r="D5" t="n">
        <v>1495994</v>
      </c>
      <c r="E5" t="n">
        <v>1513580</v>
      </c>
      <c r="F5">
        <f>HYPERLINK("http://imap3images.s3-website-us-east-1.amazonaws.com/1513580/p/imap_app_photo_1745365620837.jpg", "View")</f>
        <v/>
      </c>
      <c r="G5" t="inlineStr">
        <is>
          <t>http://imap3images.s3-website-us-east-1.amazonaws.com/1513580/p/imap_app_photo_1745365620837.jpg</t>
        </is>
      </c>
      <c r="H5" t="inlineStr">
        <is>
          <t>Rhamnus cathartica</t>
        </is>
      </c>
      <c r="I5" t="inlineStr">
        <is>
          <t>Buckthorn</t>
        </is>
      </c>
      <c r="J5" t="inlineStr">
        <is>
          <t>54811</t>
        </is>
      </c>
      <c r="K5">
        <f>HYPERLINK("https://www.inaturalist.org/taxa/54811-Rhamnus-cathartica", "View")</f>
        <v/>
      </c>
      <c r="L5" t="inlineStr">
        <is>
          <t>https://www.inaturalist.org/taxa/54811-Rhamnus-cathartica</t>
        </is>
      </c>
      <c r="M5" t="inlineStr">
        <is>
          <t>Rhamnus cathartica</t>
        </is>
      </c>
      <c r="N5" t="inlineStr">
        <is>
          <t>Common buckthorn</t>
        </is>
      </c>
      <c r="O5" t="inlineStr">
        <is>
          <t>54811</t>
        </is>
      </c>
      <c r="P5" t="n">
        <v>58.61</v>
      </c>
      <c r="Q5" t="n">
        <v>5.65</v>
      </c>
      <c r="R5" t="n">
        <v>1</v>
      </c>
      <c r="S5" t="inlineStr">
        <is>
          <t>Match</t>
        </is>
      </c>
      <c r="T5" t="inlineStr">
        <is>
          <t>4</t>
        </is>
      </c>
      <c r="U5" t="n">
        <v>81.5</v>
      </c>
      <c r="V5" t="n">
        <v>31.47</v>
      </c>
      <c r="W5" t="inlineStr">
        <is>
          <t>Below</t>
        </is>
      </c>
      <c r="X5" t="inlineStr">
        <is>
          <t>Above</t>
        </is>
      </c>
      <c r="Y5" t="inlineStr">
        <is>
          <t>Manual review</t>
        </is>
      </c>
    </row>
    <row r="6">
      <c r="A6" t="n">
        <v>5</v>
      </c>
      <c r="B6">
        <f>HYPERLINK("https://imapinvasives.natureserve.org/imap/services/page/Presence/1495993.html", "View")</f>
        <v/>
      </c>
      <c r="C6" t="inlineStr">
        <is>
          <t>https://imapinvasives.natureserve.org/imap/services/page/Presence/1495993.html</t>
        </is>
      </c>
      <c r="D6" t="n">
        <v>1495993</v>
      </c>
      <c r="E6" t="n">
        <v>1513579</v>
      </c>
      <c r="F6">
        <f>HYPERLINK("http://imap3images.s3-website-us-east-1.amazonaws.com/1513579/p/imap_app_photo_1745365611929.jpg", "View")</f>
        <v/>
      </c>
      <c r="G6" t="inlineStr">
        <is>
          <t>http://imap3images.s3-website-us-east-1.amazonaws.com/1513579/p/imap_app_photo_1745365611929.jpg</t>
        </is>
      </c>
      <c r="H6" t="inlineStr">
        <is>
          <t>Rhamnus cathartica</t>
        </is>
      </c>
      <c r="I6" t="inlineStr">
        <is>
          <t>Buckthorn</t>
        </is>
      </c>
      <c r="J6" t="inlineStr">
        <is>
          <t>54811</t>
        </is>
      </c>
      <c r="K6">
        <f>HYPERLINK("https://www.inaturalist.org/taxa/54811-Rhamnus-cathartica", "View")</f>
        <v/>
      </c>
      <c r="L6" t="inlineStr">
        <is>
          <t>https://www.inaturalist.org/taxa/54811-Rhamnus-cathartica</t>
        </is>
      </c>
      <c r="M6" t="inlineStr">
        <is>
          <t>Rhamnus cathartica</t>
        </is>
      </c>
      <c r="N6" t="inlineStr">
        <is>
          <t>Common buckthorn</t>
        </is>
      </c>
      <c r="O6" t="inlineStr">
        <is>
          <t>54811</t>
        </is>
      </c>
      <c r="P6" t="n">
        <v>58.61</v>
      </c>
      <c r="Q6" t="n">
        <v>24.5</v>
      </c>
      <c r="R6" t="n">
        <v>1</v>
      </c>
      <c r="S6" t="inlineStr">
        <is>
          <t>Match</t>
        </is>
      </c>
      <c r="T6" t="inlineStr">
        <is>
          <t>4</t>
        </is>
      </c>
      <c r="U6" t="n">
        <v>81.5</v>
      </c>
      <c r="V6" t="n">
        <v>31.47</v>
      </c>
      <c r="W6" t="inlineStr">
        <is>
          <t>Below</t>
        </is>
      </c>
      <c r="X6" t="inlineStr">
        <is>
          <t>Above</t>
        </is>
      </c>
      <c r="Y6" t="inlineStr">
        <is>
          <t>Manual review</t>
        </is>
      </c>
    </row>
    <row r="7">
      <c r="A7" t="n">
        <v>6</v>
      </c>
      <c r="B7">
        <f>HYPERLINK("https://imapinvasives.natureserve.org/imap/services/page/Presence/1495992.html", "View")</f>
        <v/>
      </c>
      <c r="C7" t="inlineStr">
        <is>
          <t>https://imapinvasives.natureserve.org/imap/services/page/Presence/1495992.html</t>
        </is>
      </c>
      <c r="D7" t="n">
        <v>1495992</v>
      </c>
      <c r="E7" t="n">
        <v>1513578</v>
      </c>
      <c r="F7">
        <f>HYPERLINK("http://imap3images.s3-website-us-east-1.amazonaws.com/1513578/p/imap_app_photo_1745365604777.jpg", "View")</f>
        <v/>
      </c>
      <c r="G7" t="inlineStr">
        <is>
          <t>http://imap3images.s3-website-us-east-1.amazonaws.com/1513578/p/imap_app_photo_1745365604777.jpg</t>
        </is>
      </c>
      <c r="H7" t="inlineStr">
        <is>
          <t>Rhamnus cathartica</t>
        </is>
      </c>
      <c r="I7" t="inlineStr">
        <is>
          <t>Buckthorn</t>
        </is>
      </c>
      <c r="J7" t="inlineStr">
        <is>
          <t>54811</t>
        </is>
      </c>
      <c r="K7">
        <f>HYPERLINK("https://www.inaturalist.org/taxa/54811-Rhamnus-cathartica", "View")</f>
        <v/>
      </c>
      <c r="L7" t="inlineStr">
        <is>
          <t>https://www.inaturalist.org/taxa/54811-Rhamnus-cathartica</t>
        </is>
      </c>
      <c r="M7" t="inlineStr">
        <is>
          <t>Rhamnus cathartica</t>
        </is>
      </c>
      <c r="N7" t="inlineStr">
        <is>
          <t>Common buckthorn</t>
        </is>
      </c>
      <c r="O7" t="inlineStr">
        <is>
          <t>54811</t>
        </is>
      </c>
      <c r="P7" t="n">
        <v>58.61</v>
      </c>
      <c r="Q7" t="n">
        <v>6.9</v>
      </c>
      <c r="R7" t="n">
        <v>1</v>
      </c>
      <c r="S7" t="inlineStr">
        <is>
          <t>Match</t>
        </is>
      </c>
      <c r="T7" t="inlineStr">
        <is>
          <t>4</t>
        </is>
      </c>
      <c r="U7" t="n">
        <v>81.5</v>
      </c>
      <c r="V7" t="n">
        <v>31.47</v>
      </c>
      <c r="W7" t="inlineStr">
        <is>
          <t>Below</t>
        </is>
      </c>
      <c r="X7" t="inlineStr">
        <is>
          <t>Above</t>
        </is>
      </c>
      <c r="Y7" t="inlineStr">
        <is>
          <t>Manual review</t>
        </is>
      </c>
    </row>
    <row r="8">
      <c r="A8" t="n">
        <v>7</v>
      </c>
      <c r="B8">
        <f>HYPERLINK("https://imapinvasives.natureserve.org/imap/services/page/Presence/1495991.html", "View")</f>
        <v/>
      </c>
      <c r="C8" t="inlineStr">
        <is>
          <t>https://imapinvasives.natureserve.org/imap/services/page/Presence/1495991.html</t>
        </is>
      </c>
      <c r="D8" t="n">
        <v>1495991</v>
      </c>
      <c r="E8" t="n">
        <v>1513577</v>
      </c>
      <c r="F8">
        <f>HYPERLINK("http://imap3images.s3-website-us-east-1.amazonaws.com/1513577/p/imap_app_photo_1745365597659.jpg", "View")</f>
        <v/>
      </c>
      <c r="G8" t="inlineStr">
        <is>
          <t>http://imap3images.s3-website-us-east-1.amazonaws.com/1513577/p/imap_app_photo_1745365597659.jpg</t>
        </is>
      </c>
      <c r="H8" t="inlineStr">
        <is>
          <t>Rhamnus cathartica</t>
        </is>
      </c>
      <c r="I8" t="inlineStr">
        <is>
          <t>Buckthorn</t>
        </is>
      </c>
      <c r="J8" t="inlineStr">
        <is>
          <t>54811</t>
        </is>
      </c>
      <c r="K8">
        <f>HYPERLINK("https://www.inaturalist.org/taxa/54811-Rhamnus-cathartica", "View")</f>
        <v/>
      </c>
      <c r="L8" t="inlineStr">
        <is>
          <t>https://www.inaturalist.org/taxa/54811-Rhamnus-cathartica</t>
        </is>
      </c>
      <c r="M8" t="inlineStr">
        <is>
          <t>Rhamnus cathartica</t>
        </is>
      </c>
      <c r="N8" t="inlineStr">
        <is>
          <t>Common buckthorn</t>
        </is>
      </c>
      <c r="O8" t="inlineStr">
        <is>
          <t>54811</t>
        </is>
      </c>
      <c r="P8" t="n">
        <v>58.61</v>
      </c>
      <c r="Q8" t="n">
        <v>31.44</v>
      </c>
      <c r="R8" t="n">
        <v>1</v>
      </c>
      <c r="S8" t="inlineStr">
        <is>
          <t>Match</t>
        </is>
      </c>
      <c r="T8" t="inlineStr">
        <is>
          <t>4</t>
        </is>
      </c>
      <c r="U8" t="n">
        <v>81.5</v>
      </c>
      <c r="V8" t="n">
        <v>31.47</v>
      </c>
      <c r="W8" t="inlineStr">
        <is>
          <t>Below</t>
        </is>
      </c>
      <c r="X8" t="inlineStr">
        <is>
          <t>Above</t>
        </is>
      </c>
      <c r="Y8" t="inlineStr">
        <is>
          <t>Manual review</t>
        </is>
      </c>
    </row>
    <row r="9">
      <c r="A9" t="n">
        <v>8</v>
      </c>
      <c r="B9">
        <f>HYPERLINK("https://imapinvasives.natureserve.org/imap/services/page/Presence/1495990.html", "View")</f>
        <v/>
      </c>
      <c r="C9" t="inlineStr">
        <is>
          <t>https://imapinvasives.natureserve.org/imap/services/page/Presence/1495990.html</t>
        </is>
      </c>
      <c r="D9" t="n">
        <v>1495990</v>
      </c>
      <c r="E9" t="n">
        <v>1513576</v>
      </c>
      <c r="F9">
        <f>HYPERLINK("http://imap3images.s3-website-us-east-1.amazonaws.com/1513576/p/imap_app_photo_1745365589539.jpg", "View")</f>
        <v/>
      </c>
      <c r="G9" t="inlineStr">
        <is>
          <t>http://imap3images.s3-website-us-east-1.amazonaws.com/1513576/p/imap_app_photo_1745365589539.jpg</t>
        </is>
      </c>
      <c r="H9" t="inlineStr">
        <is>
          <t>Rhamnus cathartica</t>
        </is>
      </c>
      <c r="I9" t="inlineStr">
        <is>
          <t>Buckthorn</t>
        </is>
      </c>
      <c r="J9" t="inlineStr">
        <is>
          <t>54811</t>
        </is>
      </c>
      <c r="K9">
        <f>HYPERLINK("https://www.inaturalist.org/taxa/54811-Rhamnus-cathartica", "View")</f>
        <v/>
      </c>
      <c r="L9" t="inlineStr">
        <is>
          <t>https://www.inaturalist.org/taxa/54811-Rhamnus-cathartica</t>
        </is>
      </c>
      <c r="M9" t="inlineStr">
        <is>
          <t>Rhamnus cathartica</t>
        </is>
      </c>
      <c r="N9" t="inlineStr">
        <is>
          <t>Common buckthorn</t>
        </is>
      </c>
      <c r="O9" t="inlineStr">
        <is>
          <t>54811</t>
        </is>
      </c>
      <c r="P9" t="n">
        <v>58.61</v>
      </c>
      <c r="Q9" t="n">
        <v>3.8</v>
      </c>
      <c r="R9" t="n">
        <v>1</v>
      </c>
      <c r="S9" t="inlineStr">
        <is>
          <t>Match</t>
        </is>
      </c>
      <c r="T9" t="inlineStr">
        <is>
          <t>4</t>
        </is>
      </c>
      <c r="U9" t="n">
        <v>81.5</v>
      </c>
      <c r="V9" t="n">
        <v>31.47</v>
      </c>
      <c r="W9" t="inlineStr">
        <is>
          <t>Below</t>
        </is>
      </c>
      <c r="X9" t="inlineStr">
        <is>
          <t>Above</t>
        </is>
      </c>
      <c r="Y9" t="inlineStr">
        <is>
          <t>Manual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2025-07-04T18:13:50Z</dcterms:created>
  <dcterms:modified xmlns:dcterms="http://purl.org/dc/terms/" xmlns:xsi="http://www.w3.org/2001/XMLSchema-instance" xsi:type="dcterms:W3CDTF">2025-07-04T18:13:51Z</dcterms:modified>
</cp:coreProperties>
</file>