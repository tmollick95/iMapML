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S.L.</t>
        </is>
      </c>
      <c r="B1" s="1" t="inlineStr">
        <is>
          <t>imaplink</t>
        </is>
      </c>
      <c r="C1" s="1" t="inlineStr">
        <is>
          <t>imaplink_raw</t>
        </is>
      </c>
      <c r="D1" s="1" t="inlineStr">
        <is>
          <t>presenceId</t>
        </is>
      </c>
      <c r="E1" s="1" t="inlineStr">
        <is>
          <t>presentSpeciesId</t>
        </is>
      </c>
      <c r="F1" s="1" t="inlineStr">
        <is>
          <t>iMapPhoto</t>
        </is>
      </c>
      <c r="G1" s="1" t="inlineStr">
        <is>
          <t>iMapPhoto_raw</t>
        </is>
      </c>
      <c r="H1" s="1" t="inlineStr">
        <is>
          <t>imap_sci</t>
        </is>
      </c>
      <c r="I1" s="1" t="inlineStr">
        <is>
          <t>imap_com</t>
        </is>
      </c>
      <c r="J1" s="1" t="inlineStr">
        <is>
          <t>imap_record_taxon</t>
        </is>
      </c>
      <c r="K1" s="1" t="inlineStr">
        <is>
          <t>inatlink</t>
        </is>
      </c>
      <c r="L1" s="1" t="inlineStr">
        <is>
          <t>inatlink_raw</t>
        </is>
      </c>
      <c r="M1" s="1" t="inlineStr">
        <is>
          <t>inat_sci</t>
        </is>
      </c>
      <c r="N1" s="1" t="inlineStr">
        <is>
          <t>inat_com</t>
        </is>
      </c>
      <c r="O1" s="1" t="inlineStr">
        <is>
          <t>inat_taxon</t>
        </is>
      </c>
      <c r="P1" s="1" t="inlineStr">
        <is>
          <t>geo_score</t>
        </is>
      </c>
      <c r="Q1" s="1" t="inlineStr">
        <is>
          <t>com_score</t>
        </is>
      </c>
      <c r="R1" s="1" t="inlineStr">
        <is>
          <t>visual_model</t>
        </is>
      </c>
      <c r="S1" s="1" t="inlineStr">
        <is>
          <t>species_label</t>
        </is>
      </c>
      <c r="T1" s="1" t="inlineStr">
        <is>
          <t>com_status</t>
        </is>
      </c>
    </row>
    <row r="2">
      <c r="A2" t="n">
        <v>1</v>
      </c>
      <c r="B2">
        <f>HYPERLINK("https://imapinvasives.natureserve.org/imap/services/page/Presence/1501228.html", "View")</f>
        <v/>
      </c>
      <c r="C2" t="inlineStr">
        <is>
          <t>https://imapinvasives.natureserve.org/imap/services/page/Presence/1501228.html</t>
        </is>
      </c>
      <c r="D2" t="n">
        <v>1501228</v>
      </c>
      <c r="E2" t="n">
        <v>1519888</v>
      </c>
      <c r="F2">
        <f>HYPERLINK("http://imap3images.s3-website-us-east-1.amazonaws.com/1519888/p/Photo_2.jpg", "View")</f>
        <v/>
      </c>
      <c r="G2" t="inlineStr">
        <is>
          <t>http://imap3images.s3-website-us-east-1.amazonaws.com/1519888/p/Photo_2.jpg</t>
        </is>
      </c>
      <c r="H2" t="inlineStr">
        <is>
          <t>Rhamnus cathartica</t>
        </is>
      </c>
      <c r="I2" t="inlineStr">
        <is>
          <t>Buckthorn</t>
        </is>
      </c>
      <c r="J2" t="n">
        <v>54811</v>
      </c>
      <c r="K2">
        <f>HYPERLINK("https://www.inaturalist.org/taxa/48435-Adiantum-pedatum", "View")</f>
        <v/>
      </c>
      <c r="L2" t="inlineStr">
        <is>
          <t>https://www.inaturalist.org/taxa/48435-Adiantum-pedatum</t>
        </is>
      </c>
      <c r="M2" t="inlineStr">
        <is>
          <t>Adiantum pedatum</t>
        </is>
      </c>
      <c r="N2" t="inlineStr">
        <is>
          <t>Northern maidenhair fern</t>
        </is>
      </c>
      <c r="O2" t="n">
        <v>48435</v>
      </c>
      <c r="P2" t="n">
        <v>16.9</v>
      </c>
      <c r="Q2" t="n">
        <v>35.79</v>
      </c>
      <c r="R2" t="inlineStr"/>
      <c r="S2" t="n">
        <v>0</v>
      </c>
      <c r="T2" t="inlineStr"/>
    </row>
    <row r="3">
      <c r="A3" t="n">
        <v>2</v>
      </c>
      <c r="B3">
        <f>HYPERLINK("https://imapinvasives.natureserve.org/imap/services/page/Presence/1501161.html", "View")</f>
        <v/>
      </c>
      <c r="C3" t="inlineStr">
        <is>
          <t>https://imapinvasives.natureserve.org/imap/services/page/Presence/1501161.html</t>
        </is>
      </c>
      <c r="D3" t="n">
        <v>1501161</v>
      </c>
      <c r="E3" t="n">
        <v>1519821</v>
      </c>
      <c r="F3">
        <f>HYPERLINK("http://imap3images.s3-website-us-east-1.amazonaws.com/1519821/p/Photo_1.jpg", "View")</f>
        <v/>
      </c>
      <c r="G3" t="inlineStr">
        <is>
          <t>http://imap3images.s3-website-us-east-1.amazonaws.com/1519821/p/Photo_1.jpg</t>
        </is>
      </c>
      <c r="H3" t="inlineStr">
        <is>
          <t>Rhamnus cathartica</t>
        </is>
      </c>
      <c r="I3" t="inlineStr">
        <is>
          <t>Buckthorn</t>
        </is>
      </c>
      <c r="J3" t="n">
        <v>54811</v>
      </c>
      <c r="K3">
        <f>HYPERLINK("https://www.inaturalist.org/taxa/54811-Rhamnus-cathartica", "View")</f>
        <v/>
      </c>
      <c r="L3" t="inlineStr">
        <is>
          <t>https://www.inaturalist.org/taxa/54811-Rhamnus-cathartica</t>
        </is>
      </c>
      <c r="M3" t="inlineStr">
        <is>
          <t>Rhamnus cathartica</t>
        </is>
      </c>
      <c r="N3" t="inlineStr">
        <is>
          <t>Common buckthorn</t>
        </is>
      </c>
      <c r="O3" t="n">
        <v>54811</v>
      </c>
      <c r="P3" t="n">
        <v>41.8</v>
      </c>
      <c r="Q3" t="n">
        <v>72.70999999999999</v>
      </c>
      <c r="R3" t="inlineStr"/>
      <c r="S3" t="n">
        <v>1</v>
      </c>
      <c r="T3" t="inlineStr"/>
    </row>
    <row r="4">
      <c r="A4" t="n">
        <v>3</v>
      </c>
      <c r="B4">
        <f>HYPERLINK("https://imapinvasives.natureserve.org/imap/services/page/Presence/1500895.html", "View")</f>
        <v/>
      </c>
      <c r="C4" t="inlineStr">
        <is>
          <t>https://imapinvasives.natureserve.org/imap/services/page/Presence/1500895.html</t>
        </is>
      </c>
      <c r="D4" t="n">
        <v>1500895</v>
      </c>
      <c r="E4" t="n">
        <v>1519555</v>
      </c>
      <c r="F4">
        <f>HYPERLINK("http://imap3images.s3-website-us-east-1.amazonaws.com/1519555/p/imap_app_photo_1750953430739.jpg", "View")</f>
        <v/>
      </c>
      <c r="G4" t="inlineStr">
        <is>
          <t>http://imap3images.s3-website-us-east-1.amazonaws.com/1519555/p/imap_app_photo_1750953430739.jpg</t>
        </is>
      </c>
      <c r="H4" t="inlineStr">
        <is>
          <t>Rhamnus cathartica</t>
        </is>
      </c>
      <c r="I4" t="inlineStr">
        <is>
          <t>Buckthorn</t>
        </is>
      </c>
      <c r="J4" t="n">
        <v>54811</v>
      </c>
      <c r="K4">
        <f>HYPERLINK("https://www.inaturalist.org/taxa/54811-Rhamnus-cathartica", "View")</f>
        <v/>
      </c>
      <c r="L4" t="inlineStr">
        <is>
          <t>https://www.inaturalist.org/taxa/54811-Rhamnus-cathartica</t>
        </is>
      </c>
      <c r="M4" t="inlineStr">
        <is>
          <t>Rhamnus cathartica</t>
        </is>
      </c>
      <c r="N4" t="inlineStr">
        <is>
          <t>Common buckthorn</t>
        </is>
      </c>
      <c r="O4" t="n">
        <v>54811</v>
      </c>
      <c r="P4" t="n">
        <v>41.8</v>
      </c>
      <c r="Q4" t="n">
        <v>98.26000000000001</v>
      </c>
      <c r="R4" t="inlineStr"/>
      <c r="S4" t="n">
        <v>1</v>
      </c>
      <c r="T4" t="inlineStr"/>
    </row>
    <row r="5">
      <c r="A5" t="n">
        <v>4</v>
      </c>
      <c r="B5">
        <f>HYPERLINK("https://imapinvasives.natureserve.org/imap/services/page/Presence/1498233.html", "View")</f>
        <v/>
      </c>
      <c r="C5" t="inlineStr">
        <is>
          <t>https://imapinvasives.natureserve.org/imap/services/page/Presence/1498233.html</t>
        </is>
      </c>
      <c r="D5" t="n">
        <v>1498233</v>
      </c>
      <c r="E5" t="n">
        <v>1516202</v>
      </c>
      <c r="F5">
        <f>HYPERLINK("http://imap3images.s3-website-us-east-1.amazonaws.com/1516202/p/Photo_1.jpg", "View")</f>
        <v/>
      </c>
      <c r="G5" t="inlineStr">
        <is>
          <t>http://imap3images.s3-website-us-east-1.amazonaws.com/1516202/p/Photo_1.jpg</t>
        </is>
      </c>
      <c r="H5" t="inlineStr">
        <is>
          <t>Rhamnus cathartica</t>
        </is>
      </c>
      <c r="I5" t="inlineStr">
        <is>
          <t>Buckthorn</t>
        </is>
      </c>
      <c r="J5" t="n">
        <v>54811</v>
      </c>
      <c r="K5">
        <f>HYPERLINK("https://www.inaturalist.org/taxa/54811-Rhamnus-cathartica", "View")</f>
        <v/>
      </c>
      <c r="L5" t="inlineStr">
        <is>
          <t>https://www.inaturalist.org/taxa/54811-Rhamnus-cathartica</t>
        </is>
      </c>
      <c r="M5" t="inlineStr">
        <is>
          <t>Rhamnus cathartica</t>
        </is>
      </c>
      <c r="N5" t="inlineStr">
        <is>
          <t>Common buckthorn</t>
        </is>
      </c>
      <c r="O5" t="n">
        <v>54811</v>
      </c>
      <c r="P5" t="n">
        <v>48.63</v>
      </c>
      <c r="Q5" t="n">
        <v>96.77</v>
      </c>
      <c r="R5" t="inlineStr"/>
      <c r="S5" t="n">
        <v>1</v>
      </c>
      <c r="T5" t="inlineStr"/>
    </row>
    <row r="6">
      <c r="A6" t="n">
        <v>5</v>
      </c>
      <c r="B6">
        <f>HYPERLINK("https://imapinvasives.natureserve.org/imap/services/page/Presence/1498229.html", "View")</f>
        <v/>
      </c>
      <c r="C6" t="inlineStr">
        <is>
          <t>https://imapinvasives.natureserve.org/imap/services/page/Presence/1498229.html</t>
        </is>
      </c>
      <c r="D6" t="n">
        <v>1498229</v>
      </c>
      <c r="E6" t="n">
        <v>1516188</v>
      </c>
      <c r="F6">
        <f>HYPERLINK("http://imap3images.s3-website-us-east-1.amazonaws.com/1516188/p/Photo_4_(3).jpg", "View")</f>
        <v/>
      </c>
      <c r="G6" t="inlineStr">
        <is>
          <t>http://imap3images.s3-website-us-east-1.amazonaws.com/1516188/p/Photo_4_(3).jpg</t>
        </is>
      </c>
      <c r="H6" t="inlineStr">
        <is>
          <t>Rhamnus cathartica</t>
        </is>
      </c>
      <c r="I6" t="inlineStr">
        <is>
          <t>Buckthorn</t>
        </is>
      </c>
      <c r="J6" t="n">
        <v>54811</v>
      </c>
      <c r="K6">
        <f>HYPERLINK("https://www.inaturalist.org/taxa/54811-Rhamnus-cathartica", "View")</f>
        <v/>
      </c>
      <c r="L6" t="inlineStr">
        <is>
          <t>https://www.inaturalist.org/taxa/54811-Rhamnus-cathartica</t>
        </is>
      </c>
      <c r="M6" t="inlineStr">
        <is>
          <t>Rhamnus cathartica</t>
        </is>
      </c>
      <c r="N6" t="inlineStr">
        <is>
          <t>Common buckthorn</t>
        </is>
      </c>
      <c r="O6" t="n">
        <v>54811</v>
      </c>
      <c r="P6" t="n">
        <v>29.72</v>
      </c>
      <c r="Q6" t="n">
        <v>92.89</v>
      </c>
      <c r="R6" t="inlineStr"/>
      <c r="S6" t="n">
        <v>1</v>
      </c>
      <c r="T6" t="inlineStr"/>
    </row>
    <row r="7">
      <c r="A7" t="n">
        <v>6</v>
      </c>
      <c r="B7">
        <f>HYPERLINK("https://imapinvasives.natureserve.org/imap/services/page/Presence/1497823.html", "View")</f>
        <v/>
      </c>
      <c r="C7" t="inlineStr">
        <is>
          <t>https://imapinvasives.natureserve.org/imap/services/page/Presence/1497823.html</t>
        </is>
      </c>
      <c r="D7" t="n">
        <v>1497823</v>
      </c>
      <c r="E7" t="n">
        <v>1515706</v>
      </c>
      <c r="F7">
        <f>HYPERLINK("http://imap3images.s3-website-us-east-1.amazonaws.com/1515706/p/imap_app_photo_1747941778999.jpg", "View")</f>
        <v/>
      </c>
      <c r="G7" t="inlineStr">
        <is>
          <t>http://imap3images.s3-website-us-east-1.amazonaws.com/1515706/p/imap_app_photo_1747941778999.jpg</t>
        </is>
      </c>
      <c r="H7" t="inlineStr">
        <is>
          <t>Rhamnus cathartica</t>
        </is>
      </c>
      <c r="I7" t="inlineStr">
        <is>
          <t>Buckthorn</t>
        </is>
      </c>
      <c r="J7" t="n">
        <v>54811</v>
      </c>
      <c r="K7">
        <f>HYPERLINK("https://www.inaturalist.org/taxa/54811-Rhamnus-cathartica", "View")</f>
        <v/>
      </c>
      <c r="L7" t="inlineStr">
        <is>
          <t>https://www.inaturalist.org/taxa/54811-Rhamnus-cathartica</t>
        </is>
      </c>
      <c r="M7" t="inlineStr">
        <is>
          <t>Rhamnus cathartica</t>
        </is>
      </c>
      <c r="N7" t="inlineStr">
        <is>
          <t>Common buckthorn</t>
        </is>
      </c>
      <c r="O7" t="n">
        <v>54811</v>
      </c>
      <c r="P7" t="n">
        <v>52.34</v>
      </c>
      <c r="Q7" t="n">
        <v>96.45</v>
      </c>
      <c r="R7" t="inlineStr"/>
      <c r="S7" t="n">
        <v>1</v>
      </c>
      <c r="T7" t="inlineStr"/>
    </row>
    <row r="8">
      <c r="A8" t="n">
        <v>7</v>
      </c>
      <c r="B8">
        <f>HYPERLINK("https://imapinvasives.natureserve.org/imap/services/page/Presence/1497705.html", "View")</f>
        <v/>
      </c>
      <c r="C8" t="inlineStr">
        <is>
          <t>https://imapinvasives.natureserve.org/imap/services/page/Presence/1497705.html</t>
        </is>
      </c>
      <c r="D8" t="n">
        <v>1497705</v>
      </c>
      <c r="E8" t="n">
        <v>1515583</v>
      </c>
      <c r="F8">
        <f>HYPERLINK("http://imap3images.s3-website-us-east-1.amazonaws.com/1515583/p/imap_app_photo_1747767743736.jpg", "View")</f>
        <v/>
      </c>
      <c r="G8" t="inlineStr">
        <is>
          <t>http://imap3images.s3-website-us-east-1.amazonaws.com/1515583/p/imap_app_photo_1747767743736.jpg</t>
        </is>
      </c>
      <c r="H8" t="inlineStr">
        <is>
          <t>Rhamnus cathartica</t>
        </is>
      </c>
      <c r="I8" t="inlineStr">
        <is>
          <t>Buckthorn</t>
        </is>
      </c>
      <c r="J8" t="n">
        <v>54811</v>
      </c>
      <c r="K8">
        <f>HYPERLINK("https://www.inaturalist.org/taxa/54811-Rhamnus-cathartica", "View")</f>
        <v/>
      </c>
      <c r="L8" t="inlineStr">
        <is>
          <t>https://www.inaturalist.org/taxa/54811-Rhamnus-cathartica</t>
        </is>
      </c>
      <c r="M8" t="inlineStr">
        <is>
          <t>Rhamnus cathartica</t>
        </is>
      </c>
      <c r="N8" t="inlineStr">
        <is>
          <t>Common buckthorn</t>
        </is>
      </c>
      <c r="O8" t="n">
        <v>54811</v>
      </c>
      <c r="P8" t="n">
        <v>38.29</v>
      </c>
      <c r="Q8" t="n">
        <v>97.25</v>
      </c>
      <c r="R8" t="inlineStr"/>
      <c r="S8" t="n">
        <v>1</v>
      </c>
      <c r="T8" t="inlineStr"/>
    </row>
    <row r="9">
      <c r="A9" t="n">
        <v>8</v>
      </c>
      <c r="B9">
        <f>HYPERLINK("https://imapinvasives.natureserve.org/imap/services/page/Presence/1497677.html", "View")</f>
        <v/>
      </c>
      <c r="C9" t="inlineStr">
        <is>
          <t>https://imapinvasives.natureserve.org/imap/services/page/Presence/1497677.html</t>
        </is>
      </c>
      <c r="D9" t="n">
        <v>1497677</v>
      </c>
      <c r="E9" t="n">
        <v>1515555</v>
      </c>
      <c r="F9">
        <f>HYPERLINK("http://imap3images.s3-website-us-east-1.amazonaws.com/1515555/p/imap_app_photo_1747744531397.jpg", "View")</f>
        <v/>
      </c>
      <c r="G9" t="inlineStr">
        <is>
          <t>http://imap3images.s3-website-us-east-1.amazonaws.com/1515555/p/imap_app_photo_1747744531397.jpg</t>
        </is>
      </c>
      <c r="H9" t="inlineStr">
        <is>
          <t>Rhamnus cathartica</t>
        </is>
      </c>
      <c r="I9" t="inlineStr">
        <is>
          <t>Buckthorn</t>
        </is>
      </c>
      <c r="J9" t="n">
        <v>54811</v>
      </c>
      <c r="K9">
        <f>HYPERLINK("https://www.inaturalist.org/taxa/54811-Rhamnus-cathartica", "View")</f>
        <v/>
      </c>
      <c r="L9" t="inlineStr">
        <is>
          <t>https://www.inaturalist.org/taxa/54811-Rhamnus-cathartica</t>
        </is>
      </c>
      <c r="M9" t="inlineStr">
        <is>
          <t>Rhamnus cathartica</t>
        </is>
      </c>
      <c r="N9" t="inlineStr">
        <is>
          <t>Common buckthorn</t>
        </is>
      </c>
      <c r="O9" t="n">
        <v>54811</v>
      </c>
      <c r="P9" t="n">
        <v>52.34</v>
      </c>
      <c r="Q9" t="n">
        <v>99.05</v>
      </c>
      <c r="R9" t="inlineStr"/>
      <c r="S9" t="n">
        <v>1</v>
      </c>
      <c r="T9" t="inlineStr"/>
    </row>
    <row r="10">
      <c r="A10" t="n">
        <v>9</v>
      </c>
      <c r="B10">
        <f>HYPERLINK("https://imapinvasives.natureserve.org/imap/services/page/Presence/1497675.html", "View")</f>
        <v/>
      </c>
      <c r="C10" t="inlineStr">
        <is>
          <t>https://imapinvasives.natureserve.org/imap/services/page/Presence/1497675.html</t>
        </is>
      </c>
      <c r="D10" t="n">
        <v>1497675</v>
      </c>
      <c r="E10" t="n">
        <v>1515553</v>
      </c>
      <c r="F10">
        <f>HYPERLINK("http://imap3images.s3-website-us-east-1.amazonaws.com/1515553/p/imap_app_photo_1747744517270.jpg", "View")</f>
        <v/>
      </c>
      <c r="G10" t="inlineStr">
        <is>
          <t>http://imap3images.s3-website-us-east-1.amazonaws.com/1515553/p/imap_app_photo_1747744517270.jpg</t>
        </is>
      </c>
      <c r="H10" t="inlineStr">
        <is>
          <t>Rhamnus cathartica</t>
        </is>
      </c>
      <c r="I10" t="inlineStr">
        <is>
          <t>Buckthorn</t>
        </is>
      </c>
      <c r="J10" t="n">
        <v>54811</v>
      </c>
      <c r="K10">
        <f>HYPERLINK("https://www.inaturalist.org/taxa/54811-Rhamnus-cathartica", "View")</f>
        <v/>
      </c>
      <c r="L10" t="inlineStr">
        <is>
          <t>https://www.inaturalist.org/taxa/54811-Rhamnus-cathartica</t>
        </is>
      </c>
      <c r="M10" t="inlineStr">
        <is>
          <t>Rhamnus cathartica</t>
        </is>
      </c>
      <c r="N10" t="inlineStr">
        <is>
          <t>Common buckthorn</t>
        </is>
      </c>
      <c r="O10" t="n">
        <v>54811</v>
      </c>
      <c r="P10" t="n">
        <v>52.34</v>
      </c>
      <c r="Q10" t="n">
        <v>75.45</v>
      </c>
      <c r="R10" t="inlineStr"/>
      <c r="S10" t="n">
        <v>1</v>
      </c>
      <c r="T10" t="inlineStr"/>
    </row>
    <row r="11">
      <c r="A11" t="n">
        <v>10</v>
      </c>
      <c r="B11">
        <f>HYPERLINK("https://imapinvasives.natureserve.org/imap/services/page/Presence/1497673.html", "View")</f>
        <v/>
      </c>
      <c r="C11" t="inlineStr">
        <is>
          <t>https://imapinvasives.natureserve.org/imap/services/page/Presence/1497673.html</t>
        </is>
      </c>
      <c r="D11" t="n">
        <v>1497673</v>
      </c>
      <c r="E11" t="n">
        <v>1515551</v>
      </c>
      <c r="F11">
        <f>HYPERLINK("http://imap3images.s3-website-us-east-1.amazonaws.com/1515551/p/imap_app_photo_1747744502938.jpg", "View")</f>
        <v/>
      </c>
      <c r="G11" t="inlineStr">
        <is>
          <t>http://imap3images.s3-website-us-east-1.amazonaws.com/1515551/p/imap_app_photo_1747744502938.jpg</t>
        </is>
      </c>
      <c r="H11" t="inlineStr">
        <is>
          <t>Rhamnus cathartica</t>
        </is>
      </c>
      <c r="I11" t="inlineStr">
        <is>
          <t>Buckthorn</t>
        </is>
      </c>
      <c r="J11" t="n">
        <v>54811</v>
      </c>
      <c r="K11">
        <f>HYPERLINK("https://www.inaturalist.org/taxa/54811-Rhamnus-cathartica", "View")</f>
        <v/>
      </c>
      <c r="L11" t="inlineStr">
        <is>
          <t>https://www.inaturalist.org/taxa/54811-Rhamnus-cathartica</t>
        </is>
      </c>
      <c r="M11" t="inlineStr">
        <is>
          <t>Rhamnus cathartica</t>
        </is>
      </c>
      <c r="N11" t="inlineStr">
        <is>
          <t>Common buckthorn</t>
        </is>
      </c>
      <c r="O11" t="n">
        <v>54811</v>
      </c>
      <c r="P11" t="n">
        <v>52.34</v>
      </c>
      <c r="Q11" t="n">
        <v>97.97</v>
      </c>
      <c r="R11" t="inlineStr"/>
      <c r="S11" t="n">
        <v>1</v>
      </c>
      <c r="T11" t="inlineStr"/>
    </row>
    <row r="12">
      <c r="A12" t="n">
        <v>11</v>
      </c>
      <c r="B12">
        <f>HYPERLINK("https://imapinvasives.natureserve.org/imap/services/page/Presence/1497671.html", "View")</f>
        <v/>
      </c>
      <c r="C12" t="inlineStr">
        <is>
          <t>https://imapinvasives.natureserve.org/imap/services/page/Presence/1497671.html</t>
        </is>
      </c>
      <c r="D12" t="n">
        <v>1497671</v>
      </c>
      <c r="E12" t="n">
        <v>1515549</v>
      </c>
      <c r="F12">
        <f>HYPERLINK("http://imap3images.s3-website-us-east-1.amazonaws.com/1515549/p/imap_app_photo_1747744485532.jpg", "View")</f>
        <v/>
      </c>
      <c r="G12" t="inlineStr">
        <is>
          <t>http://imap3images.s3-website-us-east-1.amazonaws.com/1515549/p/imap_app_photo_1747744485532.jpg</t>
        </is>
      </c>
      <c r="H12" t="inlineStr">
        <is>
          <t>Rhamnus cathartica</t>
        </is>
      </c>
      <c r="I12" t="inlineStr">
        <is>
          <t>Buckthorn</t>
        </is>
      </c>
      <c r="J12" t="n">
        <v>54811</v>
      </c>
      <c r="K12">
        <f>HYPERLINK("https://www.inaturalist.org/taxa/54811-Rhamnus-cathartica", "View")</f>
        <v/>
      </c>
      <c r="L12" t="inlineStr">
        <is>
          <t>https://www.inaturalist.org/taxa/54811-Rhamnus-cathartica</t>
        </is>
      </c>
      <c r="M12" t="inlineStr">
        <is>
          <t>Rhamnus cathartica</t>
        </is>
      </c>
      <c r="N12" t="inlineStr">
        <is>
          <t>Common buckthorn</t>
        </is>
      </c>
      <c r="O12" t="n">
        <v>54811</v>
      </c>
      <c r="P12" t="n">
        <v>52.34</v>
      </c>
      <c r="Q12" t="n">
        <v>99.27</v>
      </c>
      <c r="R12" t="inlineStr"/>
      <c r="S12" t="n">
        <v>1</v>
      </c>
      <c r="T12" t="inlineStr"/>
    </row>
    <row r="13">
      <c r="A13" t="n">
        <v>12</v>
      </c>
      <c r="B13">
        <f>HYPERLINK("https://imapinvasives.natureserve.org/imap/services/page/Presence/1497669.html", "View")</f>
        <v/>
      </c>
      <c r="C13" t="inlineStr">
        <is>
          <t>https://imapinvasives.natureserve.org/imap/services/page/Presence/1497669.html</t>
        </is>
      </c>
      <c r="D13" t="n">
        <v>1497669</v>
      </c>
      <c r="E13" t="n">
        <v>1515547</v>
      </c>
      <c r="F13">
        <f>HYPERLINK("http://imap3images.s3-website-us-east-1.amazonaws.com/1515547/p/imap_app_photo_1747744466150.jpg", "View")</f>
        <v/>
      </c>
      <c r="G13" t="inlineStr">
        <is>
          <t>http://imap3images.s3-website-us-east-1.amazonaws.com/1515547/p/imap_app_photo_1747744466150.jpg</t>
        </is>
      </c>
      <c r="H13" t="inlineStr">
        <is>
          <t>Rhamnus cathartica</t>
        </is>
      </c>
      <c r="I13" t="inlineStr">
        <is>
          <t>Buckthorn</t>
        </is>
      </c>
      <c r="J13" t="n">
        <v>54811</v>
      </c>
      <c r="K13">
        <f>HYPERLINK("https://www.inaturalist.org/taxa/54811-Rhamnus-cathartica", "View")</f>
        <v/>
      </c>
      <c r="L13" t="inlineStr">
        <is>
          <t>https://www.inaturalist.org/taxa/54811-Rhamnus-cathartica</t>
        </is>
      </c>
      <c r="M13" t="inlineStr">
        <is>
          <t>Rhamnus cathartica</t>
        </is>
      </c>
      <c r="N13" t="inlineStr">
        <is>
          <t>Common buckthorn</t>
        </is>
      </c>
      <c r="O13" t="n">
        <v>54811</v>
      </c>
      <c r="P13" t="n">
        <v>52.34</v>
      </c>
      <c r="Q13" t="n">
        <v>99.16</v>
      </c>
      <c r="R13" t="inlineStr"/>
      <c r="S13" t="n">
        <v>1</v>
      </c>
      <c r="T13" t="inlineStr"/>
    </row>
    <row r="14">
      <c r="A14" t="n">
        <v>13</v>
      </c>
      <c r="B14">
        <f>HYPERLINK("https://imapinvasives.natureserve.org/imap/services/page/Presence/1497360.html", "View")</f>
        <v/>
      </c>
      <c r="C14" t="inlineStr">
        <is>
          <t>https://imapinvasives.natureserve.org/imap/services/page/Presence/1497360.html</t>
        </is>
      </c>
      <c r="D14" t="n">
        <v>1497360</v>
      </c>
      <c r="E14" t="n">
        <v>1515138</v>
      </c>
      <c r="F14">
        <f>HYPERLINK("http://imap3images.s3-website-us-east-1.amazonaws.com/1515138/p/imap_app_photo_1746714428984.jpg", "View")</f>
        <v/>
      </c>
      <c r="G14" t="inlineStr">
        <is>
          <t>http://imap3images.s3-website-us-east-1.amazonaws.com/1515138/p/imap_app_photo_1746714428984.jpg</t>
        </is>
      </c>
      <c r="H14" t="inlineStr">
        <is>
          <t>Rhamnus cathartica</t>
        </is>
      </c>
      <c r="I14" t="inlineStr">
        <is>
          <t>Buckthorn</t>
        </is>
      </c>
      <c r="J14" t="n">
        <v>54811</v>
      </c>
      <c r="K14">
        <f>HYPERLINK("https://www.inaturalist.org/taxa/54811-Rhamnus-cathartica", "View")</f>
        <v/>
      </c>
      <c r="L14" t="inlineStr">
        <is>
          <t>https://www.inaturalist.org/taxa/54811-Rhamnus-cathartica</t>
        </is>
      </c>
      <c r="M14" t="inlineStr">
        <is>
          <t>Rhamnus cathartica</t>
        </is>
      </c>
      <c r="N14" t="inlineStr">
        <is>
          <t>Common buckthorn</t>
        </is>
      </c>
      <c r="O14" t="n">
        <v>54811</v>
      </c>
      <c r="P14" t="n">
        <v>36.91</v>
      </c>
      <c r="Q14" t="n">
        <v>99.54000000000001</v>
      </c>
      <c r="R14" t="inlineStr"/>
      <c r="S14" t="n">
        <v>1</v>
      </c>
      <c r="T14" t="inlineStr"/>
    </row>
    <row r="15">
      <c r="A15" t="n">
        <v>14</v>
      </c>
      <c r="B15">
        <f>HYPERLINK("https://imapinvasives.natureserve.org/imap/services/page/Presence/1497319.html", "View")</f>
        <v/>
      </c>
      <c r="C15" t="inlineStr">
        <is>
          <t>https://imapinvasives.natureserve.org/imap/services/page/Presence/1497319.html</t>
        </is>
      </c>
      <c r="D15" t="n">
        <v>1497319</v>
      </c>
      <c r="E15" t="n">
        <v>1515094</v>
      </c>
      <c r="F15">
        <f>HYPERLINK("http://imap3images.s3-website-us-east-1.amazonaws.com/1515094/p/imap_app_photo_1746619440015.jpg", "View")</f>
        <v/>
      </c>
      <c r="G15" t="inlineStr">
        <is>
          <t>http://imap3images.s3-website-us-east-1.amazonaws.com/1515094/p/imap_app_photo_1746619440015.jpg</t>
        </is>
      </c>
      <c r="H15" t="inlineStr">
        <is>
          <t>Rhamnus cathartica</t>
        </is>
      </c>
      <c r="I15" t="inlineStr">
        <is>
          <t>Buckthorn</t>
        </is>
      </c>
      <c r="J15" t="n">
        <v>54811</v>
      </c>
      <c r="K15">
        <f>HYPERLINK("https://www.inaturalist.org/taxa/54811-Rhamnus-cathartica", "View")</f>
        <v/>
      </c>
      <c r="L15" t="inlineStr">
        <is>
          <t>https://www.inaturalist.org/taxa/54811-Rhamnus-cathartica</t>
        </is>
      </c>
      <c r="M15" t="inlineStr">
        <is>
          <t>Rhamnus cathartica</t>
        </is>
      </c>
      <c r="N15" t="inlineStr">
        <is>
          <t>Common buckthorn</t>
        </is>
      </c>
      <c r="O15" t="n">
        <v>54811</v>
      </c>
      <c r="P15" t="n">
        <v>48.44</v>
      </c>
      <c r="Q15" t="n">
        <v>82.98</v>
      </c>
      <c r="R15" t="inlineStr"/>
      <c r="S15" t="n">
        <v>1</v>
      </c>
      <c r="T15" t="inlineStr"/>
    </row>
    <row r="16">
      <c r="A16" t="n">
        <v>15</v>
      </c>
      <c r="B16">
        <f>HYPERLINK("https://imapinvasives.natureserve.org/imap/services/page/Presence/1497317.html", "View")</f>
        <v/>
      </c>
      <c r="C16" t="inlineStr">
        <is>
          <t>https://imapinvasives.natureserve.org/imap/services/page/Presence/1497317.html</t>
        </is>
      </c>
      <c r="D16" t="n">
        <v>1497317</v>
      </c>
      <c r="E16" t="n">
        <v>1515092</v>
      </c>
      <c r="F16">
        <f>HYPERLINK("http://imap3images.s3-website-us-east-1.amazonaws.com/1515092/p/imap_app_photo_1746619319916.jpg", "View")</f>
        <v/>
      </c>
      <c r="G16" t="inlineStr">
        <is>
          <t>http://imap3images.s3-website-us-east-1.amazonaws.com/1515092/p/imap_app_photo_1746619319916.jpg</t>
        </is>
      </c>
      <c r="H16" t="inlineStr">
        <is>
          <t>Rhamnus cathartica</t>
        </is>
      </c>
      <c r="I16" t="inlineStr">
        <is>
          <t>Buckthorn</t>
        </is>
      </c>
      <c r="J16" t="n">
        <v>54811</v>
      </c>
      <c r="K16">
        <f>HYPERLINK("https://www.inaturalist.org/taxa/54811-Rhamnus-cathartica", "View")</f>
        <v/>
      </c>
      <c r="L16" t="inlineStr">
        <is>
          <t>https://www.inaturalist.org/taxa/54811-Rhamnus-cathartica</t>
        </is>
      </c>
      <c r="M16" t="inlineStr">
        <is>
          <t>Rhamnus cathartica</t>
        </is>
      </c>
      <c r="N16" t="inlineStr">
        <is>
          <t>Common buckthorn</t>
        </is>
      </c>
      <c r="O16" t="n">
        <v>54811</v>
      </c>
      <c r="P16" t="n">
        <v>48.44</v>
      </c>
      <c r="Q16" t="n">
        <v>98.7</v>
      </c>
      <c r="R16" t="inlineStr"/>
      <c r="S16" t="n">
        <v>1</v>
      </c>
      <c r="T16" t="inlineStr"/>
    </row>
    <row r="17">
      <c r="A17" t="n">
        <v>16</v>
      </c>
      <c r="B17">
        <f>HYPERLINK("https://imapinvasives.natureserve.org/imap/services/page/Presence/1497302.html", "View")</f>
        <v/>
      </c>
      <c r="C17" t="inlineStr">
        <is>
          <t>https://imapinvasives.natureserve.org/imap/services/page/Presence/1497302.html</t>
        </is>
      </c>
      <c r="D17" t="n">
        <v>1497302</v>
      </c>
      <c r="E17" t="n">
        <v>1515075</v>
      </c>
      <c r="F17">
        <f>HYPERLINK("http://imap3images.s3-website-us-east-1.amazonaws.com/1515075/p/imap_app_photo_1746572037774.jpg", "View")</f>
        <v/>
      </c>
      <c r="G17" t="inlineStr">
        <is>
          <t>http://imap3images.s3-website-us-east-1.amazonaws.com/1515075/p/imap_app_photo_1746572037774.jpg</t>
        </is>
      </c>
      <c r="H17" t="inlineStr">
        <is>
          <t>Rhamnus cathartica</t>
        </is>
      </c>
      <c r="I17" t="inlineStr">
        <is>
          <t>Buckthorn</t>
        </is>
      </c>
      <c r="J17" t="n">
        <v>54811</v>
      </c>
      <c r="K17">
        <f>HYPERLINK("https://www.inaturalist.org/taxa/54811-Rhamnus-cathartica", "View")</f>
        <v/>
      </c>
      <c r="L17" t="inlineStr">
        <is>
          <t>https://www.inaturalist.org/taxa/54811-Rhamnus-cathartica</t>
        </is>
      </c>
      <c r="M17" t="inlineStr">
        <is>
          <t>Rhamnus cathartica</t>
        </is>
      </c>
      <c r="N17" t="inlineStr">
        <is>
          <t>Common buckthorn</t>
        </is>
      </c>
      <c r="O17" t="n">
        <v>54811</v>
      </c>
      <c r="P17" t="n">
        <v>52.34</v>
      </c>
      <c r="Q17" t="n">
        <v>97.79000000000001</v>
      </c>
      <c r="R17" t="inlineStr"/>
      <c r="S17" t="n">
        <v>1</v>
      </c>
      <c r="T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2025-06-29T05:51:08Z</dcterms:created>
  <dcterms:modified xmlns:dcterms="http://purl.org/dc/terms/" xmlns:xsi="http://www.w3.org/2001/XMLSchema-instance" xsi:type="dcterms:W3CDTF">2025-06-29T05:51:08Z</dcterms:modified>
</cp:coreProperties>
</file>