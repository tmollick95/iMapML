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S.L.</t>
        </is>
      </c>
      <c r="B1" t="inlineStr">
        <is>
          <t>imaplink</t>
        </is>
      </c>
      <c r="C1" t="inlineStr">
        <is>
          <t>imaplink_raw</t>
        </is>
      </c>
      <c r="D1" t="inlineStr">
        <is>
          <t>presenceId</t>
        </is>
      </c>
      <c r="E1" t="inlineStr">
        <is>
          <t>presentSpeciesId</t>
        </is>
      </c>
      <c r="F1" t="inlineStr">
        <is>
          <t>iMapPhoto</t>
        </is>
      </c>
      <c r="G1" t="inlineStr">
        <is>
          <t>iMapPhoto_raw</t>
        </is>
      </c>
      <c r="H1" t="inlineStr">
        <is>
          <t>imap_sci</t>
        </is>
      </c>
      <c r="I1" t="inlineStr">
        <is>
          <t>imap_com</t>
        </is>
      </c>
      <c r="J1" t="inlineStr">
        <is>
          <t>imap_record_taxon</t>
        </is>
      </c>
      <c r="K1" t="inlineStr">
        <is>
          <t>inatlink</t>
        </is>
      </c>
      <c r="L1" t="inlineStr">
        <is>
          <t>inatlink_raw</t>
        </is>
      </c>
      <c r="M1" t="inlineStr">
        <is>
          <t>inat_sci</t>
        </is>
      </c>
      <c r="N1" t="inlineStr">
        <is>
          <t>inat_com</t>
        </is>
      </c>
      <c r="O1" t="inlineStr">
        <is>
          <t>inat_taxon</t>
        </is>
      </c>
      <c r="P1" t="inlineStr">
        <is>
          <t>geo_score</t>
        </is>
      </c>
      <c r="Q1" t="inlineStr">
        <is>
          <t>com_score</t>
        </is>
      </c>
      <c r="R1" t="inlineStr">
        <is>
          <t>species_label</t>
        </is>
      </c>
      <c r="S1" t="inlineStr">
        <is>
          <t>com_status</t>
        </is>
      </c>
      <c r="T1" t="inlineStr">
        <is>
          <t>NYS_Tier</t>
        </is>
      </c>
      <c r="U1" t="inlineStr">
        <is>
          <t>Species_selected_threshold</t>
        </is>
      </c>
      <c r="V1" t="inlineStr">
        <is>
          <t>Geo_score_mean</t>
        </is>
      </c>
      <c r="W1" t="inlineStr">
        <is>
          <t>Com_score_above_or_below</t>
        </is>
      </c>
      <c r="X1" t="inlineStr">
        <is>
          <t>Geo_score_above_or_below</t>
        </is>
      </c>
      <c r="Y1" t="inlineStr">
        <is>
          <t>Recommended_status</t>
        </is>
      </c>
    </row>
    <row r="2">
      <c r="A2" t="n">
        <v>1</v>
      </c>
      <c r="B2">
        <f>HYPERLINK("https://imapinvasives.natureserve.org/imap/services/page/Presence/1500533.html", "View")</f>
        <v/>
      </c>
      <c r="C2" t="inlineStr">
        <is>
          <t>https://imapinvasives.natureserve.org/imap/services/page/Presence/1500533.html</t>
        </is>
      </c>
      <c r="D2" t="n">
        <v>1500533</v>
      </c>
      <c r="E2" t="n">
        <v>1519077</v>
      </c>
      <c r="F2">
        <f>HYPERLINK("http://imap3images.s3-website-us-east-1.amazonaws.com/1519077/p/imap_app_photo_1750688769318.jpg", "View")</f>
        <v/>
      </c>
      <c r="G2" t="inlineStr">
        <is>
          <t>http://imap3images.s3-website-us-east-1.amazonaws.com/1519077/p/imap_app_photo_1750688769318.jpg</t>
        </is>
      </c>
      <c r="H2" t="inlineStr">
        <is>
          <t>Lonicera maackii</t>
        </is>
      </c>
      <c r="I2" t="inlineStr">
        <is>
          <t>Amur Honeysuckle</t>
        </is>
      </c>
      <c r="J2" t="inlineStr">
        <is>
          <t>82342</t>
        </is>
      </c>
      <c r="K2">
        <f>HYPERLINK("https://www.inaturalist.org/taxa/82342-Lonicera-maackii", "View")</f>
        <v/>
      </c>
      <c r="L2" t="inlineStr">
        <is>
          <t>https://www.inaturalist.org/taxa/82342-Lonicera-maackii</t>
        </is>
      </c>
      <c r="M2" t="inlineStr">
        <is>
          <t>Lonicera maackii</t>
        </is>
      </c>
      <c r="N2" t="inlineStr">
        <is>
          <t>Amur honeysuckle</t>
        </is>
      </c>
      <c r="O2" t="inlineStr">
        <is>
          <t>82342</t>
        </is>
      </c>
      <c r="P2" t="n">
        <v>26.79</v>
      </c>
      <c r="Q2" t="n">
        <v>15.97</v>
      </c>
      <c r="R2" t="n">
        <v>1</v>
      </c>
      <c r="S2" t="inlineStr">
        <is>
          <t>Match</t>
        </is>
      </c>
      <c r="T2" t="inlineStr">
        <is>
          <t>4</t>
        </is>
      </c>
      <c r="U2" t="n">
        <v>91.63</v>
      </c>
      <c r="V2" t="n">
        <v>19.88</v>
      </c>
      <c r="W2" t="inlineStr">
        <is>
          <t>Below</t>
        </is>
      </c>
      <c r="X2" t="inlineStr">
        <is>
          <t>Above</t>
        </is>
      </c>
      <c r="Y2" t="inlineStr">
        <is>
          <t>Manual review</t>
        </is>
      </c>
    </row>
    <row r="3">
      <c r="A3" t="n">
        <v>2</v>
      </c>
      <c r="B3">
        <f>HYPERLINK("https://imapinvasives.natureserve.org/imap/services/page/Presence/1500518.html", "View")</f>
        <v/>
      </c>
      <c r="C3" t="inlineStr">
        <is>
          <t>https://imapinvasives.natureserve.org/imap/services/page/Presence/1500518.html</t>
        </is>
      </c>
      <c r="D3" t="n">
        <v>1500518</v>
      </c>
      <c r="E3" t="n">
        <v>1519062</v>
      </c>
      <c r="F3">
        <f>HYPERLINK("http://imap3images.s3-website-us-east-1.amazonaws.com/1519062/p/imap_app_photo_1750688058368.jpg", "View")</f>
        <v/>
      </c>
      <c r="G3" t="inlineStr">
        <is>
          <t>http://imap3images.s3-website-us-east-1.amazonaws.com/1519062/p/imap_app_photo_1750688058368.jpg</t>
        </is>
      </c>
      <c r="H3" t="inlineStr">
        <is>
          <t>Lonicera maackii</t>
        </is>
      </c>
      <c r="I3" t="inlineStr">
        <is>
          <t>Amur Honeysuckle</t>
        </is>
      </c>
      <c r="J3" t="inlineStr">
        <is>
          <t>82342</t>
        </is>
      </c>
      <c r="K3">
        <f>HYPERLINK("https://www.inaturalist.org/taxa/77835-Lonicera-japonica", "View")</f>
        <v/>
      </c>
      <c r="L3" t="inlineStr">
        <is>
          <t>https://www.inaturalist.org/taxa/77835-Lonicera-japonica</t>
        </is>
      </c>
      <c r="M3" t="inlineStr">
        <is>
          <t>Lonicera japonica</t>
        </is>
      </c>
      <c r="N3" t="inlineStr">
        <is>
          <t>Japanese honeysuckle</t>
        </is>
      </c>
      <c r="O3" t="inlineStr">
        <is>
          <t>77835</t>
        </is>
      </c>
      <c r="P3" t="n">
        <v>21.11</v>
      </c>
      <c r="Q3" t="n">
        <v>93.8</v>
      </c>
      <c r="R3" t="n">
        <v>0</v>
      </c>
      <c r="S3" t="inlineStr">
        <is>
          <t>Unmatch</t>
        </is>
      </c>
      <c r="T3" t="inlineStr">
        <is>
          <t>4</t>
        </is>
      </c>
      <c r="U3" t="n">
        <v>91.63</v>
      </c>
      <c r="V3" t="n">
        <v>19.88</v>
      </c>
      <c r="W3" t="inlineStr">
        <is>
          <t>Above</t>
        </is>
      </c>
      <c r="X3" t="inlineStr">
        <is>
          <t>Above</t>
        </is>
      </c>
      <c r="Y3" t="inlineStr">
        <is>
          <t>Manual review</t>
        </is>
      </c>
    </row>
    <row r="4">
      <c r="A4" t="n">
        <v>3</v>
      </c>
      <c r="B4">
        <f>HYPERLINK("https://imapinvasives.natureserve.org/imap/services/page/Presence/1500517.html", "View")</f>
        <v/>
      </c>
      <c r="C4" t="inlineStr">
        <is>
          <t>https://imapinvasives.natureserve.org/imap/services/page/Presence/1500517.html</t>
        </is>
      </c>
      <c r="D4" t="n">
        <v>1500517</v>
      </c>
      <c r="E4" t="n">
        <v>1519061</v>
      </c>
      <c r="F4">
        <f>HYPERLINK("http://imap3images.s3-website-us-east-1.amazonaws.com/1519061/p/imap_app_photo_1750688034728.jpg", "View")</f>
        <v/>
      </c>
      <c r="G4" t="inlineStr">
        <is>
          <t>http://imap3images.s3-website-us-east-1.amazonaws.com/1519061/p/imap_app_photo_1750688034728.jpg</t>
        </is>
      </c>
      <c r="H4" t="inlineStr">
        <is>
          <t>Lonicera maackii</t>
        </is>
      </c>
      <c r="I4" t="inlineStr">
        <is>
          <t>Amur Honeysuckle</t>
        </is>
      </c>
      <c r="J4" t="inlineStr">
        <is>
          <t>82342</t>
        </is>
      </c>
      <c r="K4">
        <f>HYPERLINK("https://www.inaturalist.org/taxa/58727-Berberis-thunbergii", "View")</f>
        <v/>
      </c>
      <c r="L4" t="inlineStr">
        <is>
          <t>https://www.inaturalist.org/taxa/58727-Berberis-thunbergii</t>
        </is>
      </c>
      <c r="M4" t="inlineStr">
        <is>
          <t>Berberis thunbergii</t>
        </is>
      </c>
      <c r="N4" t="inlineStr">
        <is>
          <t>Japanese barberry</t>
        </is>
      </c>
      <c r="O4" t="inlineStr">
        <is>
          <t>58727</t>
        </is>
      </c>
      <c r="P4" t="n">
        <v>52.99</v>
      </c>
      <c r="Q4" t="n">
        <v>84.48</v>
      </c>
      <c r="R4" t="n">
        <v>0</v>
      </c>
      <c r="S4" t="inlineStr">
        <is>
          <t>Unmatch</t>
        </is>
      </c>
      <c r="T4" t="inlineStr">
        <is>
          <t>4</t>
        </is>
      </c>
      <c r="U4" t="n">
        <v>91.63</v>
      </c>
      <c r="V4" t="n">
        <v>19.88</v>
      </c>
      <c r="W4" t="inlineStr">
        <is>
          <t>Below</t>
        </is>
      </c>
      <c r="X4" t="inlineStr">
        <is>
          <t>Above</t>
        </is>
      </c>
      <c r="Y4" t="inlineStr">
        <is>
          <t>Manual review</t>
        </is>
      </c>
    </row>
    <row r="5">
      <c r="A5" t="n">
        <v>4</v>
      </c>
      <c r="B5">
        <f>HYPERLINK("https://imapinvasives.natureserve.org/imap/services/page/Presence/1500499.html", "View")</f>
        <v/>
      </c>
      <c r="C5" t="inlineStr">
        <is>
          <t>https://imapinvasives.natureserve.org/imap/services/page/Presence/1500499.html</t>
        </is>
      </c>
      <c r="D5" t="n">
        <v>1500499</v>
      </c>
      <c r="E5" t="n">
        <v>1519043</v>
      </c>
      <c r="F5">
        <f>HYPERLINK("http://imap3images.s3-website-us-east-1.amazonaws.com/1519043/p/20250612_114708.jpg", "View")</f>
        <v/>
      </c>
      <c r="G5" t="inlineStr">
        <is>
          <t>http://imap3images.s3-website-us-east-1.amazonaws.com/1519043/p/20250612_114708.jpg</t>
        </is>
      </c>
      <c r="H5" t="inlineStr">
        <is>
          <t>Lonicera maackii</t>
        </is>
      </c>
      <c r="I5" t="inlineStr">
        <is>
          <t>Amur Honeysuckle</t>
        </is>
      </c>
      <c r="J5" t="inlineStr">
        <is>
          <t>82342</t>
        </is>
      </c>
      <c r="K5">
        <f>HYPERLINK("https://www.inaturalist.org/taxa/135879-Juniperus-rigida", "View")</f>
        <v/>
      </c>
      <c r="L5" t="inlineStr">
        <is>
          <t>https://www.inaturalist.org/taxa/135879-Juniperus-rigida</t>
        </is>
      </c>
      <c r="M5" t="inlineStr">
        <is>
          <t>Juniperus rigida</t>
        </is>
      </c>
      <c r="N5" t="inlineStr">
        <is>
          <t>Temple juniper</t>
        </is>
      </c>
      <c r="O5" t="inlineStr">
        <is>
          <t>135879</t>
        </is>
      </c>
      <c r="P5" t="n">
        <v>9.75</v>
      </c>
      <c r="Q5" t="n">
        <v>7.49</v>
      </c>
      <c r="R5" t="n">
        <v>0</v>
      </c>
      <c r="S5" t="inlineStr">
        <is>
          <t>Unmatch</t>
        </is>
      </c>
      <c r="T5" t="inlineStr">
        <is>
          <t>4</t>
        </is>
      </c>
      <c r="U5" t="n">
        <v>91.63</v>
      </c>
      <c r="V5" t="n">
        <v>19.88</v>
      </c>
      <c r="W5" t="inlineStr">
        <is>
          <t>Below</t>
        </is>
      </c>
      <c r="X5" t="inlineStr">
        <is>
          <t>Below</t>
        </is>
      </c>
      <c r="Y5" t="inlineStr">
        <is>
          <t>Manual review</t>
        </is>
      </c>
    </row>
    <row r="6">
      <c r="A6" t="n">
        <v>5</v>
      </c>
      <c r="B6">
        <f>HYPERLINK("https://imapinvasives.natureserve.org/imap/services/page/Presence/1499995.html", "View")</f>
        <v/>
      </c>
      <c r="C6" t="inlineStr">
        <is>
          <t>https://imapinvasives.natureserve.org/imap/services/page/Presence/1499995.html</t>
        </is>
      </c>
      <c r="D6" t="n">
        <v>1499995</v>
      </c>
      <c r="E6" t="n">
        <v>1518260</v>
      </c>
      <c r="F6">
        <f>HYPERLINK("http://imap3images.s3-website-us-east-1.amazonaws.com/1518260/p/imap_app_photo_1750262101421.jpg", "View")</f>
        <v/>
      </c>
      <c r="G6" t="inlineStr">
        <is>
          <t>http://imap3images.s3-website-us-east-1.amazonaws.com/1518260/p/imap_app_photo_1750262101421.jpg</t>
        </is>
      </c>
      <c r="H6" t="inlineStr">
        <is>
          <t>Lonicera tatarica</t>
        </is>
      </c>
      <c r="I6" t="inlineStr">
        <is>
          <t>Tatarian Honeysuckle</t>
        </is>
      </c>
      <c r="J6" t="inlineStr">
        <is>
          <t>77836</t>
        </is>
      </c>
      <c r="K6">
        <f>HYPERLINK("https://www.inaturalist.org/taxa/127010-Nandina-domestica", "View")</f>
        <v/>
      </c>
      <c r="L6" t="inlineStr">
        <is>
          <t>https://www.inaturalist.org/taxa/127010-Nandina-domestica</t>
        </is>
      </c>
      <c r="M6" t="inlineStr">
        <is>
          <t>Nandina domestica</t>
        </is>
      </c>
      <c r="N6" t="inlineStr">
        <is>
          <t>Heavenly bamboo</t>
        </is>
      </c>
      <c r="O6" t="inlineStr">
        <is>
          <t>127010</t>
        </is>
      </c>
      <c r="P6" t="n">
        <v>15.06</v>
      </c>
      <c r="Q6" t="n">
        <v>8.07</v>
      </c>
      <c r="R6" t="n">
        <v>0</v>
      </c>
      <c r="S6" t="inlineStr">
        <is>
          <t>Unmatch</t>
        </is>
      </c>
      <c r="T6" t="inlineStr">
        <is>
          <t>4</t>
        </is>
      </c>
      <c r="U6" t="n">
        <v>91.63</v>
      </c>
      <c r="V6" t="n">
        <v>19.88</v>
      </c>
      <c r="W6" t="inlineStr">
        <is>
          <t>Below</t>
        </is>
      </c>
      <c r="X6" t="inlineStr">
        <is>
          <t>Below</t>
        </is>
      </c>
      <c r="Y6" t="inlineStr">
        <is>
          <t>Manual review</t>
        </is>
      </c>
    </row>
    <row r="7">
      <c r="A7" t="n">
        <v>6</v>
      </c>
      <c r="B7">
        <f>HYPERLINK("https://imapinvasives.natureserve.org/imap/services/page/Presence/1499994.html", "View")</f>
        <v/>
      </c>
      <c r="C7" t="inlineStr">
        <is>
          <t>https://imapinvasives.natureserve.org/imap/services/page/Presence/1499994.html</t>
        </is>
      </c>
      <c r="D7" t="n">
        <v>1499994</v>
      </c>
      <c r="E7" t="n">
        <v>1518259</v>
      </c>
      <c r="F7">
        <f>HYPERLINK("http://imap3images.s3-website-us-east-1.amazonaws.com/1518259/p/imap_app_photo_1750262098422.jpg", "View")</f>
        <v/>
      </c>
      <c r="G7" t="inlineStr">
        <is>
          <t>http://imap3images.s3-website-us-east-1.amazonaws.com/1518259/p/imap_app_photo_1750262098422.jpg</t>
        </is>
      </c>
      <c r="H7" t="inlineStr">
        <is>
          <t>Lonicera maackii</t>
        </is>
      </c>
      <c r="I7" t="inlineStr">
        <is>
          <t>Amur Honeysuckle</t>
        </is>
      </c>
      <c r="J7" t="inlineStr">
        <is>
          <t>82342</t>
        </is>
      </c>
      <c r="K7">
        <f>HYPERLINK("https://www.inaturalist.org/taxa/128570-Styrax-japonicus", "View")</f>
        <v/>
      </c>
      <c r="L7" t="inlineStr">
        <is>
          <t>https://www.inaturalist.org/taxa/128570-Styrax-japonicus</t>
        </is>
      </c>
      <c r="M7" t="inlineStr">
        <is>
          <t>Styrax japonicus</t>
        </is>
      </c>
      <c r="N7" t="inlineStr">
        <is>
          <t>Japanese snowbell</t>
        </is>
      </c>
      <c r="O7" t="inlineStr">
        <is>
          <t>128570</t>
        </is>
      </c>
      <c r="P7" t="n">
        <v>41.09</v>
      </c>
      <c r="Q7" t="n">
        <v>20.39</v>
      </c>
      <c r="R7" t="n">
        <v>0</v>
      </c>
      <c r="S7" t="inlineStr">
        <is>
          <t>Unmatch</t>
        </is>
      </c>
      <c r="T7" t="inlineStr">
        <is>
          <t>4</t>
        </is>
      </c>
      <c r="U7" t="n">
        <v>91.63</v>
      </c>
      <c r="V7" t="n">
        <v>19.88</v>
      </c>
      <c r="W7" t="inlineStr">
        <is>
          <t>Below</t>
        </is>
      </c>
      <c r="X7" t="inlineStr">
        <is>
          <t>Above</t>
        </is>
      </c>
      <c r="Y7" t="inlineStr">
        <is>
          <t>Manual review</t>
        </is>
      </c>
    </row>
    <row r="8">
      <c r="A8" t="n">
        <v>7</v>
      </c>
      <c r="B8">
        <f>HYPERLINK("https://imapinvasives.natureserve.org/imap/services/page/Presence/1499373.html", "View")</f>
        <v/>
      </c>
      <c r="C8" t="inlineStr">
        <is>
          <t>https://imapinvasives.natureserve.org/imap/services/page/Presence/1499373.html</t>
        </is>
      </c>
      <c r="D8" t="n">
        <v>1499373</v>
      </c>
      <c r="E8" t="n">
        <v>1517527</v>
      </c>
      <c r="F8">
        <f>HYPERLINK("http://imap3images.s3-website-us-east-1.amazonaws.com/1517527/p/imap_app_photo_1749738321217.jpg", "View")</f>
        <v/>
      </c>
      <c r="G8" t="inlineStr">
        <is>
          <t>http://imap3images.s3-website-us-east-1.amazonaws.com/1517527/p/imap_app_photo_1749738321217.jpg</t>
        </is>
      </c>
      <c r="H8" t="inlineStr">
        <is>
          <t>Lonicera maackii</t>
        </is>
      </c>
      <c r="I8" t="inlineStr">
        <is>
          <t>Amur Honeysuckle</t>
        </is>
      </c>
      <c r="J8" t="inlineStr">
        <is>
          <t>82342</t>
        </is>
      </c>
      <c r="K8">
        <f>HYPERLINK("https://www.inaturalist.org/taxa/82342-Lonicera-maackii", "View")</f>
        <v/>
      </c>
      <c r="L8" t="inlineStr">
        <is>
          <t>https://www.inaturalist.org/taxa/82342-Lonicera-maackii</t>
        </is>
      </c>
      <c r="M8" t="inlineStr">
        <is>
          <t>Lonicera maackii</t>
        </is>
      </c>
      <c r="N8" t="inlineStr">
        <is>
          <t>Amur honeysuckle</t>
        </is>
      </c>
      <c r="O8" t="inlineStr">
        <is>
          <t>82342</t>
        </is>
      </c>
      <c r="P8" t="n">
        <v>15.84</v>
      </c>
      <c r="Q8" t="n">
        <v>25.03</v>
      </c>
      <c r="R8" t="n">
        <v>1</v>
      </c>
      <c r="S8" t="inlineStr">
        <is>
          <t>Match</t>
        </is>
      </c>
      <c r="T8" t="inlineStr">
        <is>
          <t>4</t>
        </is>
      </c>
      <c r="U8" t="n">
        <v>91.63</v>
      </c>
      <c r="V8" t="n">
        <v>19.88</v>
      </c>
      <c r="W8" t="inlineStr">
        <is>
          <t>Below</t>
        </is>
      </c>
      <c r="X8" t="inlineStr">
        <is>
          <t>Below</t>
        </is>
      </c>
      <c r="Y8" t="inlineStr">
        <is>
          <t>Manual review</t>
        </is>
      </c>
    </row>
    <row r="9">
      <c r="A9" t="n">
        <v>8</v>
      </c>
      <c r="B9">
        <f>HYPERLINK("https://imapinvasives.natureserve.org/imap/services/page/Presence/1499371.html", "View")</f>
        <v/>
      </c>
      <c r="C9" t="inlineStr">
        <is>
          <t>https://imapinvasives.natureserve.org/imap/services/page/Presence/1499371.html</t>
        </is>
      </c>
      <c r="D9" t="n">
        <v>1499371</v>
      </c>
      <c r="E9" t="n">
        <v>1517525</v>
      </c>
      <c r="F9">
        <f>HYPERLINK("http://imap3images.s3-website-us-east-1.amazonaws.com/1517525/p/imap_app_photo_1749738315520.jpg", "View")</f>
        <v/>
      </c>
      <c r="G9" t="inlineStr">
        <is>
          <t>http://imap3images.s3-website-us-east-1.amazonaws.com/1517525/p/imap_app_photo_1749738315520.jpg</t>
        </is>
      </c>
      <c r="H9" t="inlineStr">
        <is>
          <t>Lonicera maackii</t>
        </is>
      </c>
      <c r="I9" t="inlineStr">
        <is>
          <t>Amur Honeysuckle</t>
        </is>
      </c>
      <c r="J9" t="inlineStr">
        <is>
          <t>82342</t>
        </is>
      </c>
      <c r="K9">
        <f>HYPERLINK("https://www.inaturalist.org/taxa/54860-Ulmus-rubra", "View")</f>
        <v/>
      </c>
      <c r="L9" t="inlineStr">
        <is>
          <t>https://www.inaturalist.org/taxa/54860-Ulmus-rubra</t>
        </is>
      </c>
      <c r="M9" t="inlineStr">
        <is>
          <t>Ulmus rubra</t>
        </is>
      </c>
      <c r="N9" t="inlineStr">
        <is>
          <t>Slippery elm</t>
        </is>
      </c>
      <c r="O9" t="inlineStr">
        <is>
          <t>54860</t>
        </is>
      </c>
      <c r="P9" t="n">
        <v>27.38</v>
      </c>
      <c r="Q9" t="n">
        <v>13.93</v>
      </c>
      <c r="R9" t="n">
        <v>0</v>
      </c>
      <c r="S9" t="inlineStr">
        <is>
          <t>Unmatch</t>
        </is>
      </c>
      <c r="T9" t="inlineStr">
        <is>
          <t>4</t>
        </is>
      </c>
      <c r="U9" t="n">
        <v>91.63</v>
      </c>
      <c r="V9" t="n">
        <v>19.88</v>
      </c>
      <c r="W9" t="inlineStr">
        <is>
          <t>Below</t>
        </is>
      </c>
      <c r="X9" t="inlineStr">
        <is>
          <t>Above</t>
        </is>
      </c>
      <c r="Y9" t="inlineStr">
        <is>
          <t>Manual review</t>
        </is>
      </c>
    </row>
    <row r="10">
      <c r="A10" t="n">
        <v>9</v>
      </c>
      <c r="B10">
        <f>HYPERLINK("https://imapinvasives.natureserve.org/imap/services/page/Presence/1496820.html", "View")</f>
        <v/>
      </c>
      <c r="C10" t="inlineStr">
        <is>
          <t>https://imapinvasives.natureserve.org/imap/services/page/Presence/1496820.html</t>
        </is>
      </c>
      <c r="D10" t="n">
        <v>1496820</v>
      </c>
      <c r="E10" t="n">
        <v>1514483</v>
      </c>
      <c r="F10">
        <f>HYPERLINK("http://imap3images.s3-website-us-east-1.amazonaws.com/1514483/p/imap_app_photo_1746384464371.jpg", "View")</f>
        <v/>
      </c>
      <c r="G10" t="inlineStr">
        <is>
          <t>http://imap3images.s3-website-us-east-1.amazonaws.com/1514483/p/imap_app_photo_1746384464371.jpg</t>
        </is>
      </c>
      <c r="H10" t="inlineStr">
        <is>
          <t>Lonicera maackii</t>
        </is>
      </c>
      <c r="I10" t="inlineStr">
        <is>
          <t>Amur Honeysuckle</t>
        </is>
      </c>
      <c r="J10" t="inlineStr">
        <is>
          <t>82342</t>
        </is>
      </c>
      <c r="K10">
        <f>HYPERLINK("https://www.inaturalist.org/taxa/82342-Lonicera-maackii", "View")</f>
        <v/>
      </c>
      <c r="L10" t="inlineStr">
        <is>
          <t>https://www.inaturalist.org/taxa/82342-Lonicera-maackii</t>
        </is>
      </c>
      <c r="M10" t="inlineStr">
        <is>
          <t>Lonicera maackii</t>
        </is>
      </c>
      <c r="N10" t="inlineStr">
        <is>
          <t>Amur honeysuckle</t>
        </is>
      </c>
      <c r="O10" t="inlineStr">
        <is>
          <t>82342</t>
        </is>
      </c>
      <c r="P10" t="n">
        <v>38.67</v>
      </c>
      <c r="Q10" t="n">
        <v>12.6</v>
      </c>
      <c r="R10" t="n">
        <v>1</v>
      </c>
      <c r="S10" t="inlineStr">
        <is>
          <t>Match</t>
        </is>
      </c>
      <c r="T10" t="inlineStr">
        <is>
          <t>4</t>
        </is>
      </c>
      <c r="U10" t="n">
        <v>91.63</v>
      </c>
      <c r="V10" t="n">
        <v>19.88</v>
      </c>
      <c r="W10" t="inlineStr">
        <is>
          <t>Below</t>
        </is>
      </c>
      <c r="X10" t="inlineStr">
        <is>
          <t>Above</t>
        </is>
      </c>
      <c r="Y10" t="inlineStr">
        <is>
          <t>Manual review</t>
        </is>
      </c>
    </row>
    <row r="11">
      <c r="A11" t="n">
        <v>10</v>
      </c>
      <c r="B11">
        <f>HYPERLINK("https://imapinvasives.natureserve.org/imap/services/page/Presence/1450909.html", "View")</f>
        <v/>
      </c>
      <c r="C11" t="inlineStr">
        <is>
          <t>https://imapinvasives.natureserve.org/imap/services/page/Presence/1450909.html</t>
        </is>
      </c>
      <c r="D11" t="n">
        <v>1450909</v>
      </c>
      <c r="E11" t="n">
        <v>1465785</v>
      </c>
      <c r="F11">
        <f>HYPERLINK("http://imap3images.s3-website-us-east-1.amazonaws.com/1465785/p/imap_app_photo_1726532167517.jpg", "View")</f>
        <v/>
      </c>
      <c r="G11" t="inlineStr">
        <is>
          <t>http://imap3images.s3-website-us-east-1.amazonaws.com/1465785/p/imap_app_photo_1726532167517.jpg</t>
        </is>
      </c>
      <c r="H11" t="inlineStr">
        <is>
          <t>Lonicera maackii</t>
        </is>
      </c>
      <c r="I11" t="inlineStr">
        <is>
          <t>Amur Honeysuckle</t>
        </is>
      </c>
      <c r="J11" t="inlineStr">
        <is>
          <t>82342</t>
        </is>
      </c>
      <c r="K11">
        <f>HYPERLINK("https://www.inaturalist.org/taxa/82342-Lonicera-maackii", "View")</f>
        <v/>
      </c>
      <c r="L11" t="inlineStr">
        <is>
          <t>https://www.inaturalist.org/taxa/82342-Lonicera-maackii</t>
        </is>
      </c>
      <c r="M11" t="inlineStr">
        <is>
          <t>Lonicera maackii</t>
        </is>
      </c>
      <c r="N11" t="inlineStr">
        <is>
          <t>Amur honeysuckle</t>
        </is>
      </c>
      <c r="O11" t="inlineStr">
        <is>
          <t>82342</t>
        </is>
      </c>
      <c r="P11" t="n">
        <v>26.79</v>
      </c>
      <c r="Q11" t="n">
        <v>8.56</v>
      </c>
      <c r="R11" t="n">
        <v>1</v>
      </c>
      <c r="S11" t="inlineStr">
        <is>
          <t>Match</t>
        </is>
      </c>
      <c r="T11" t="inlineStr">
        <is>
          <t>4</t>
        </is>
      </c>
      <c r="U11" t="n">
        <v>91.63</v>
      </c>
      <c r="V11" t="n">
        <v>19.88</v>
      </c>
      <c r="W11" t="inlineStr">
        <is>
          <t>Below</t>
        </is>
      </c>
      <c r="X11" t="inlineStr">
        <is>
          <t>Above</t>
        </is>
      </c>
      <c r="Y11" t="inlineStr">
        <is>
          <t>Manual review</t>
        </is>
      </c>
    </row>
    <row r="12">
      <c r="A12" t="n">
        <v>11</v>
      </c>
      <c r="B12">
        <f>HYPERLINK("https://imapinvasives.natureserve.org/imap/services/page/Presence/1444414.html", "View")</f>
        <v/>
      </c>
      <c r="C12" t="inlineStr">
        <is>
          <t>https://imapinvasives.natureserve.org/imap/services/page/Presence/1444414.html</t>
        </is>
      </c>
      <c r="D12" t="n">
        <v>1444414</v>
      </c>
      <c r="E12" t="n">
        <v>1459166</v>
      </c>
      <c r="F12">
        <f>HYPERLINK("http://imap3images.s3-website-us-east-1.amazonaws.com/1459166/p/imap_app_photo_1725912868960.jpg", "View")</f>
        <v/>
      </c>
      <c r="G12" t="inlineStr">
        <is>
          <t>http://imap3images.s3-website-us-east-1.amazonaws.com/1459166/p/imap_app_photo_1725912868960.jpg</t>
        </is>
      </c>
      <c r="H12" t="inlineStr">
        <is>
          <t>Lonicera maackii</t>
        </is>
      </c>
      <c r="I12" t="inlineStr">
        <is>
          <t>Amur Honeysuckle</t>
        </is>
      </c>
      <c r="J12" t="inlineStr">
        <is>
          <t>82342</t>
        </is>
      </c>
      <c r="K12">
        <f>HYPERLINK("https://www.inaturalist.org/taxa/82342-Lonicera-maackii", "View")</f>
        <v/>
      </c>
      <c r="L12" t="inlineStr">
        <is>
          <t>https://www.inaturalist.org/taxa/82342-Lonicera-maackii</t>
        </is>
      </c>
      <c r="M12" t="inlineStr">
        <is>
          <t>Lonicera maackii</t>
        </is>
      </c>
      <c r="N12" t="inlineStr">
        <is>
          <t>Amur honeysuckle</t>
        </is>
      </c>
      <c r="O12" t="inlineStr">
        <is>
          <t>82342</t>
        </is>
      </c>
      <c r="P12" t="n">
        <v>12.9</v>
      </c>
      <c r="Q12" t="n">
        <v>10.83</v>
      </c>
      <c r="R12" t="n">
        <v>1</v>
      </c>
      <c r="S12" t="inlineStr">
        <is>
          <t>Match</t>
        </is>
      </c>
      <c r="T12" t="inlineStr">
        <is>
          <t>4</t>
        </is>
      </c>
      <c r="U12" t="n">
        <v>91.63</v>
      </c>
      <c r="V12" t="n">
        <v>19.88</v>
      </c>
      <c r="W12" t="inlineStr">
        <is>
          <t>Below</t>
        </is>
      </c>
      <c r="X12" t="inlineStr">
        <is>
          <t>Below</t>
        </is>
      </c>
      <c r="Y12" t="inlineStr">
        <is>
          <t>Manual review</t>
        </is>
      </c>
    </row>
    <row r="13">
      <c r="A13" t="n">
        <v>12</v>
      </c>
      <c r="B13">
        <f>HYPERLINK("https://imapinvasives.natureserve.org/imap/services/page/Presence/1444411.html", "View")</f>
        <v/>
      </c>
      <c r="C13" t="inlineStr">
        <is>
          <t>https://imapinvasives.natureserve.org/imap/services/page/Presence/1444411.html</t>
        </is>
      </c>
      <c r="D13" t="n">
        <v>1444411</v>
      </c>
      <c r="E13" t="n">
        <v>1459163</v>
      </c>
      <c r="F13">
        <f>HYPERLINK("http://imap3images.s3-website-us-east-1.amazonaws.com/1459163/p/imap_app_photo_1725912309972.jpg", "View")</f>
        <v/>
      </c>
      <c r="G13" t="inlineStr">
        <is>
          <t>http://imap3images.s3-website-us-east-1.amazonaws.com/1459163/p/imap_app_photo_1725912309972.jpg</t>
        </is>
      </c>
      <c r="H13" t="inlineStr">
        <is>
          <t>Lonicera maackii</t>
        </is>
      </c>
      <c r="I13" t="inlineStr">
        <is>
          <t>Amur Honeysuckle</t>
        </is>
      </c>
      <c r="J13" t="inlineStr">
        <is>
          <t>82342</t>
        </is>
      </c>
      <c r="K13">
        <f>HYPERLINK("https://www.inaturalist.org/taxa/82342-Lonicera-maackii", "View")</f>
        <v/>
      </c>
      <c r="L13" t="inlineStr">
        <is>
          <t>https://www.inaturalist.org/taxa/82342-Lonicera-maackii</t>
        </is>
      </c>
      <c r="M13" t="inlineStr">
        <is>
          <t>Lonicera maackii</t>
        </is>
      </c>
      <c r="N13" t="inlineStr">
        <is>
          <t>Amur honeysuckle</t>
        </is>
      </c>
      <c r="O13" t="inlineStr">
        <is>
          <t>82342</t>
        </is>
      </c>
      <c r="P13" t="n">
        <v>12.9</v>
      </c>
      <c r="Q13" t="n">
        <v>10.88</v>
      </c>
      <c r="R13" t="n">
        <v>1</v>
      </c>
      <c r="S13" t="inlineStr">
        <is>
          <t>Match</t>
        </is>
      </c>
      <c r="T13" t="inlineStr">
        <is>
          <t>4</t>
        </is>
      </c>
      <c r="U13" t="n">
        <v>91.63</v>
      </c>
      <c r="V13" t="n">
        <v>19.88</v>
      </c>
      <c r="W13" t="inlineStr">
        <is>
          <t>Below</t>
        </is>
      </c>
      <c r="X13" t="inlineStr">
        <is>
          <t>Below</t>
        </is>
      </c>
      <c r="Y13" t="inlineStr">
        <is>
          <t>Manual review</t>
        </is>
      </c>
    </row>
    <row r="14">
      <c r="A14" t="n">
        <v>13</v>
      </c>
      <c r="B14">
        <f>HYPERLINK("https://imapinvasives.natureserve.org/imap/services/page/Presence/1444262.html", "View")</f>
        <v/>
      </c>
      <c r="C14" t="inlineStr">
        <is>
          <t>https://imapinvasives.natureserve.org/imap/services/page/Presence/1444262.html</t>
        </is>
      </c>
      <c r="D14" t="n">
        <v>1444262</v>
      </c>
      <c r="E14" t="n">
        <v>1458982</v>
      </c>
      <c r="F14">
        <f>HYPERLINK("http://imap3images.s3-website-us-east-1.amazonaws.com/1458982/p/imap_app_photo_1725569016118.jpg", "View")</f>
        <v/>
      </c>
      <c r="G14" t="inlineStr">
        <is>
          <t>http://imap3images.s3-website-us-east-1.amazonaws.com/1458982/p/imap_app_photo_1725569016118.jpg</t>
        </is>
      </c>
      <c r="H14" t="inlineStr">
        <is>
          <t>Lonicera maackii</t>
        </is>
      </c>
      <c r="I14" t="inlineStr">
        <is>
          <t>Amur Honeysuckle</t>
        </is>
      </c>
      <c r="J14" t="inlineStr">
        <is>
          <t>82342</t>
        </is>
      </c>
      <c r="K14">
        <f>HYPERLINK("https://www.inaturalist.org/taxa/129677-Lespedeza-bicolor", "View")</f>
        <v/>
      </c>
      <c r="L14" t="inlineStr">
        <is>
          <t>https://www.inaturalist.org/taxa/129677-Lespedeza-bicolor</t>
        </is>
      </c>
      <c r="M14" t="inlineStr">
        <is>
          <t>Lespedeza bicolor</t>
        </is>
      </c>
      <c r="N14" t="inlineStr">
        <is>
          <t>Shrub lespedeza</t>
        </is>
      </c>
      <c r="O14" t="inlineStr">
        <is>
          <t>129677</t>
        </is>
      </c>
      <c r="P14" t="n">
        <v>9.69</v>
      </c>
      <c r="Q14" t="n">
        <v>54.05</v>
      </c>
      <c r="R14" t="n">
        <v>0</v>
      </c>
      <c r="S14" t="inlineStr">
        <is>
          <t>Unmatch</t>
        </is>
      </c>
      <c r="T14" t="inlineStr">
        <is>
          <t>4</t>
        </is>
      </c>
      <c r="U14" t="n">
        <v>91.63</v>
      </c>
      <c r="V14" t="n">
        <v>19.88</v>
      </c>
      <c r="W14" t="inlineStr">
        <is>
          <t>Below</t>
        </is>
      </c>
      <c r="X14" t="inlineStr">
        <is>
          <t>Below</t>
        </is>
      </c>
      <c r="Y14" t="inlineStr">
        <is>
          <t>Manual review</t>
        </is>
      </c>
    </row>
    <row r="15">
      <c r="A15" t="n">
        <v>14</v>
      </c>
      <c r="B15">
        <f>HYPERLINK("https://imapinvasives.natureserve.org/imap/services/page/Presence/1441354.html", "View")</f>
        <v/>
      </c>
      <c r="C15" t="inlineStr">
        <is>
          <t>https://imapinvasives.natureserve.org/imap/services/page/Presence/1441354.html</t>
        </is>
      </c>
      <c r="D15" t="n">
        <v>1441354</v>
      </c>
      <c r="E15" t="n">
        <v>1455812</v>
      </c>
      <c r="F15">
        <f>HYPERLINK("http://imap3images.s3-website-us-east-1.amazonaws.com/1455812/p/imap_app_photo_1723933768345.jpg", "View")</f>
        <v/>
      </c>
      <c r="G15" t="inlineStr">
        <is>
          <t>http://imap3images.s3-website-us-east-1.amazonaws.com/1455812/p/imap_app_photo_1723933768345.jpg</t>
        </is>
      </c>
      <c r="H15" t="inlineStr">
        <is>
          <t>Lonicera maackii</t>
        </is>
      </c>
      <c r="I15" t="inlineStr">
        <is>
          <t>Amur Honeysuckle</t>
        </is>
      </c>
      <c r="J15" t="inlineStr">
        <is>
          <t>82342</t>
        </is>
      </c>
      <c r="K15">
        <f>HYPERLINK("https://www.inaturalist.org/taxa/82342-Lonicera-maackii", "View")</f>
        <v/>
      </c>
      <c r="L15" t="inlineStr">
        <is>
          <t>https://www.inaturalist.org/taxa/82342-Lonicera-maackii</t>
        </is>
      </c>
      <c r="M15" t="inlineStr">
        <is>
          <t>Lonicera maackii</t>
        </is>
      </c>
      <c r="N15" t="inlineStr">
        <is>
          <t>Amur honeysuckle</t>
        </is>
      </c>
      <c r="O15" t="inlineStr">
        <is>
          <t>82342</t>
        </is>
      </c>
      <c r="P15" t="n">
        <v>26.79</v>
      </c>
      <c r="Q15" t="n">
        <v>0.86</v>
      </c>
      <c r="R15" t="n">
        <v>1</v>
      </c>
      <c r="S15" t="inlineStr">
        <is>
          <t>Match</t>
        </is>
      </c>
      <c r="T15" t="inlineStr">
        <is>
          <t>4</t>
        </is>
      </c>
      <c r="U15" t="n">
        <v>91.63</v>
      </c>
      <c r="V15" t="n">
        <v>19.88</v>
      </c>
      <c r="W15" t="inlineStr">
        <is>
          <t>Below</t>
        </is>
      </c>
      <c r="X15" t="inlineStr">
        <is>
          <t>Above</t>
        </is>
      </c>
      <c r="Y15" t="inlineStr">
        <is>
          <t>Manual review</t>
        </is>
      </c>
    </row>
    <row r="16">
      <c r="A16" t="n">
        <v>15</v>
      </c>
      <c r="B16">
        <f>HYPERLINK("https://imapinvasives.natureserve.org/imap/services/page/Presence/1441353.html", "View")</f>
        <v/>
      </c>
      <c r="C16" t="inlineStr">
        <is>
          <t>https://imapinvasives.natureserve.org/imap/services/page/Presence/1441353.html</t>
        </is>
      </c>
      <c r="D16" t="n">
        <v>1441353</v>
      </c>
      <c r="E16" t="n">
        <v>1455811</v>
      </c>
      <c r="F16">
        <f>HYPERLINK("http://imap3images.s3-website-us-east-1.amazonaws.com/1455811/p/imap_app_photo_1723933755100.jpg", "View")</f>
        <v/>
      </c>
      <c r="G16" t="inlineStr">
        <is>
          <t>http://imap3images.s3-website-us-east-1.amazonaws.com/1455811/p/imap_app_photo_1723933755100.jpg</t>
        </is>
      </c>
      <c r="H16" t="inlineStr">
        <is>
          <t>Lonicera maackii</t>
        </is>
      </c>
      <c r="I16" t="inlineStr">
        <is>
          <t>Amur Honeysuckle</t>
        </is>
      </c>
      <c r="J16" t="inlineStr">
        <is>
          <t>82342</t>
        </is>
      </c>
      <c r="K16">
        <f>HYPERLINK("https://www.inaturalist.org/taxa/82342-Lonicera-maackii", "View")</f>
        <v/>
      </c>
      <c r="L16" t="inlineStr">
        <is>
          <t>https://www.inaturalist.org/taxa/82342-Lonicera-maackii</t>
        </is>
      </c>
      <c r="M16" t="inlineStr">
        <is>
          <t>Lonicera maackii</t>
        </is>
      </c>
      <c r="N16" t="inlineStr">
        <is>
          <t>Amur honeysuckle</t>
        </is>
      </c>
      <c r="O16" t="inlineStr">
        <is>
          <t>82342</t>
        </is>
      </c>
      <c r="P16" t="n">
        <v>26.79</v>
      </c>
      <c r="Q16" t="n">
        <v>68.13</v>
      </c>
      <c r="R16" t="n">
        <v>1</v>
      </c>
      <c r="S16" t="inlineStr">
        <is>
          <t>Match</t>
        </is>
      </c>
      <c r="T16" t="inlineStr">
        <is>
          <t>4</t>
        </is>
      </c>
      <c r="U16" t="n">
        <v>91.63</v>
      </c>
      <c r="V16" t="n">
        <v>19.88</v>
      </c>
      <c r="W16" t="inlineStr">
        <is>
          <t>Below</t>
        </is>
      </c>
      <c r="X16" t="inlineStr">
        <is>
          <t>Above</t>
        </is>
      </c>
      <c r="Y16" t="inlineStr">
        <is>
          <t>Manual review</t>
        </is>
      </c>
    </row>
    <row r="17">
      <c r="A17" t="n">
        <v>16</v>
      </c>
      <c r="B17">
        <f>HYPERLINK("https://imapinvasives.natureserve.org/imap/services/page/Presence/1441352.html", "View")</f>
        <v/>
      </c>
      <c r="C17" t="inlineStr">
        <is>
          <t>https://imapinvasives.natureserve.org/imap/services/page/Presence/1441352.html</t>
        </is>
      </c>
      <c r="D17" t="n">
        <v>1441352</v>
      </c>
      <c r="E17" t="n">
        <v>1455810</v>
      </c>
      <c r="F17">
        <f>HYPERLINK("http://imap3images.s3-website-us-east-1.amazonaws.com/1455810/p/imap_app_photo_1723933746466.jpg", "View")</f>
        <v/>
      </c>
      <c r="G17" t="inlineStr">
        <is>
          <t>http://imap3images.s3-website-us-east-1.amazonaws.com/1455810/p/imap_app_photo_1723933746466.jpg</t>
        </is>
      </c>
      <c r="H17" t="inlineStr">
        <is>
          <t>Lonicera maackii</t>
        </is>
      </c>
      <c r="I17" t="inlineStr">
        <is>
          <t>Amur Honeysuckle</t>
        </is>
      </c>
      <c r="J17" t="inlineStr">
        <is>
          <t>82342</t>
        </is>
      </c>
      <c r="K17">
        <f>HYPERLINK("https://www.inaturalist.org/taxa/54793-Lindera-benzoin", "View")</f>
        <v/>
      </c>
      <c r="L17" t="inlineStr">
        <is>
          <t>https://www.inaturalist.org/taxa/54793-Lindera-benzoin</t>
        </is>
      </c>
      <c r="M17" t="inlineStr">
        <is>
          <t>Lindera benzoin</t>
        </is>
      </c>
      <c r="N17" t="inlineStr">
        <is>
          <t>Northern spicebush</t>
        </is>
      </c>
      <c r="O17" t="inlineStr">
        <is>
          <t>54793</t>
        </is>
      </c>
      <c r="P17" t="n">
        <v>48.53</v>
      </c>
      <c r="Q17" t="n">
        <v>10.66</v>
      </c>
      <c r="R17" t="n">
        <v>0</v>
      </c>
      <c r="S17" t="inlineStr">
        <is>
          <t>Unmatch</t>
        </is>
      </c>
      <c r="T17" t="inlineStr">
        <is>
          <t>4</t>
        </is>
      </c>
      <c r="U17" t="n">
        <v>91.63</v>
      </c>
      <c r="V17" t="n">
        <v>19.88</v>
      </c>
      <c r="W17" t="inlineStr">
        <is>
          <t>Below</t>
        </is>
      </c>
      <c r="X17" t="inlineStr">
        <is>
          <t>Above</t>
        </is>
      </c>
      <c r="Y17" t="inlineStr">
        <is>
          <t>Manual review</t>
        </is>
      </c>
    </row>
    <row r="18">
      <c r="A18" t="n">
        <v>17</v>
      </c>
      <c r="B18">
        <f>HYPERLINK("https://imapinvasives.natureserve.org/imap/services/page/Presence/1438387.html", "View")</f>
        <v/>
      </c>
      <c r="C18" t="inlineStr">
        <is>
          <t>https://imapinvasives.natureserve.org/imap/services/page/Presence/1438387.html</t>
        </is>
      </c>
      <c r="D18" t="n">
        <v>1438387</v>
      </c>
      <c r="E18" t="n">
        <v>1452638</v>
      </c>
      <c r="F18">
        <f>HYPERLINK("http://imap3images.s3-website-us-east-1.amazonaws.com/1452638/p/imap_app_photo_1722451201540.jpg", "View")</f>
        <v/>
      </c>
      <c r="G18" t="inlineStr">
        <is>
          <t>http://imap3images.s3-website-us-east-1.amazonaws.com/1452638/p/imap_app_photo_1722451201540.jpg</t>
        </is>
      </c>
      <c r="H18" t="inlineStr">
        <is>
          <t>Lonicera maackii</t>
        </is>
      </c>
      <c r="I18" t="inlineStr">
        <is>
          <t>Amur Honeysuckle</t>
        </is>
      </c>
      <c r="J18" t="inlineStr">
        <is>
          <t>82342</t>
        </is>
      </c>
      <c r="K18">
        <f>HYPERLINK("https://www.inaturalist.org/taxa/59773-Lonicera-morrowii", "View")</f>
        <v/>
      </c>
      <c r="L18" t="inlineStr">
        <is>
          <t>https://www.inaturalist.org/taxa/59773-Lonicera-morrowii</t>
        </is>
      </c>
      <c r="M18" t="inlineStr">
        <is>
          <t>Lonicera morrowii</t>
        </is>
      </c>
      <c r="N18" t="inlineStr">
        <is>
          <t>Morrow's honeysuckle</t>
        </is>
      </c>
      <c r="O18" t="inlineStr">
        <is>
          <t>59773</t>
        </is>
      </c>
      <c r="P18" t="n">
        <v>37.74</v>
      </c>
      <c r="Q18" t="n">
        <v>94.29000000000001</v>
      </c>
      <c r="R18" t="n">
        <v>1</v>
      </c>
      <c r="S18" t="inlineStr">
        <is>
          <t>Match</t>
        </is>
      </c>
      <c r="T18" t="inlineStr">
        <is>
          <t>4</t>
        </is>
      </c>
      <c r="U18" t="n">
        <v>91.63</v>
      </c>
      <c r="V18" t="n">
        <v>19.88</v>
      </c>
      <c r="W18" t="inlineStr">
        <is>
          <t>Above</t>
        </is>
      </c>
      <c r="X18" t="inlineStr">
        <is>
          <t>Above</t>
        </is>
      </c>
      <c r="Y18" t="inlineStr">
        <is>
          <t>Automatically confirmed</t>
        </is>
      </c>
    </row>
    <row r="19">
      <c r="A19" t="n">
        <v>18</v>
      </c>
      <c r="B19">
        <f>HYPERLINK("https://imapinvasives.natureserve.org/imap/services/page/Presence/1413884.html", "View")</f>
        <v/>
      </c>
      <c r="C19" t="inlineStr">
        <is>
          <t>https://imapinvasives.natureserve.org/imap/services/page/Presence/1413884.html</t>
        </is>
      </c>
      <c r="D19" t="n">
        <v>1413884</v>
      </c>
      <c r="E19" t="n">
        <v>1427383</v>
      </c>
      <c r="F19">
        <f>HYPERLINK("http://imap3images.s3-website-us-east-1.amazonaws.com/1427383/p/imap_app_photo_1719696330421.jpg", "View")</f>
        <v/>
      </c>
      <c r="G19" t="inlineStr">
        <is>
          <t>http://imap3images.s3-website-us-east-1.amazonaws.com/1427383/p/imap_app_photo_1719696330421.jpg</t>
        </is>
      </c>
      <c r="H19" t="inlineStr">
        <is>
          <t>Lonicera maackii</t>
        </is>
      </c>
      <c r="I19" t="inlineStr">
        <is>
          <t>Amur Honeysuckle</t>
        </is>
      </c>
      <c r="J19" t="inlineStr">
        <is>
          <t>82342</t>
        </is>
      </c>
      <c r="K19">
        <f>HYPERLINK("https://www.inaturalist.org/taxa/82342-Lonicera-maackii", "View")</f>
        <v/>
      </c>
      <c r="L19" t="inlineStr">
        <is>
          <t>https://www.inaturalist.org/taxa/82342-Lonicera-maackii</t>
        </is>
      </c>
      <c r="M19" t="inlineStr">
        <is>
          <t>Lonicera maackii</t>
        </is>
      </c>
      <c r="N19" t="inlineStr">
        <is>
          <t>Amur honeysuckle</t>
        </is>
      </c>
      <c r="O19" t="inlineStr">
        <is>
          <t>82342</t>
        </is>
      </c>
      <c r="P19" t="n">
        <v>22.86</v>
      </c>
      <c r="Q19" t="n">
        <v>78.14</v>
      </c>
      <c r="R19" t="n">
        <v>1</v>
      </c>
      <c r="S19" t="inlineStr">
        <is>
          <t>Match</t>
        </is>
      </c>
      <c r="T19" t="inlineStr">
        <is>
          <t>4</t>
        </is>
      </c>
      <c r="U19" t="n">
        <v>91.63</v>
      </c>
      <c r="V19" t="n">
        <v>19.88</v>
      </c>
      <c r="W19" t="inlineStr">
        <is>
          <t>Below</t>
        </is>
      </c>
      <c r="X19" t="inlineStr">
        <is>
          <t>Above</t>
        </is>
      </c>
      <c r="Y19" t="inlineStr">
        <is>
          <t>Manual review</t>
        </is>
      </c>
    </row>
    <row r="20">
      <c r="A20" t="n">
        <v>19</v>
      </c>
      <c r="B20">
        <f>HYPERLINK("https://imapinvasives.natureserve.org/imap/services/page/Presence/1412607.html", "View")</f>
        <v/>
      </c>
      <c r="C20" t="inlineStr">
        <is>
          <t>https://imapinvasives.natureserve.org/imap/services/page/Presence/1412607.html</t>
        </is>
      </c>
      <c r="D20" t="n">
        <v>1412607</v>
      </c>
      <c r="E20" t="n">
        <v>1425360</v>
      </c>
      <c r="F20">
        <f>HYPERLINK("http://imap3images.s3-website-us-east-1.amazonaws.com/1425360/p/imap_app_photo_1719256272980.jpg", "View")</f>
        <v/>
      </c>
      <c r="G20" t="inlineStr">
        <is>
          <t>http://imap3images.s3-website-us-east-1.amazonaws.com/1425360/p/imap_app_photo_1719256272980.jpg</t>
        </is>
      </c>
      <c r="H20" t="inlineStr">
        <is>
          <t>Lonicera maackii</t>
        </is>
      </c>
      <c r="I20" t="inlineStr">
        <is>
          <t>Amur Honeysuckle</t>
        </is>
      </c>
      <c r="J20" t="inlineStr">
        <is>
          <t>82342</t>
        </is>
      </c>
      <c r="K20">
        <f>HYPERLINK("https://www.inaturalist.org/taxa/82342-Lonicera-maackii", "View")</f>
        <v/>
      </c>
      <c r="L20" t="inlineStr">
        <is>
          <t>https://www.inaturalist.org/taxa/82342-Lonicera-maackii</t>
        </is>
      </c>
      <c r="M20" t="inlineStr">
        <is>
          <t>Lonicera maackii</t>
        </is>
      </c>
      <c r="N20" t="inlineStr">
        <is>
          <t>Amur honeysuckle</t>
        </is>
      </c>
      <c r="O20" t="inlineStr">
        <is>
          <t>82342</t>
        </is>
      </c>
      <c r="P20" t="n">
        <v>26.79</v>
      </c>
      <c r="Q20" t="n">
        <v>0.3</v>
      </c>
      <c r="R20" t="n">
        <v>1</v>
      </c>
      <c r="S20" t="inlineStr">
        <is>
          <t>Match</t>
        </is>
      </c>
      <c r="T20" t="inlineStr">
        <is>
          <t>4</t>
        </is>
      </c>
      <c r="U20" t="n">
        <v>91.63</v>
      </c>
      <c r="V20" t="n">
        <v>19.88</v>
      </c>
      <c r="W20" t="inlineStr">
        <is>
          <t>Below</t>
        </is>
      </c>
      <c r="X20" t="inlineStr">
        <is>
          <t>Above</t>
        </is>
      </c>
      <c r="Y20" t="inlineStr">
        <is>
          <t>Manual review</t>
        </is>
      </c>
    </row>
    <row r="21">
      <c r="A21" t="n">
        <v>20</v>
      </c>
      <c r="B21">
        <f>HYPERLINK("https://imapinvasives.natureserve.org/imap/services/page/Presence/1412606.html", "View")</f>
        <v/>
      </c>
      <c r="C21" t="inlineStr">
        <is>
          <t>https://imapinvasives.natureserve.org/imap/services/page/Presence/1412606.html</t>
        </is>
      </c>
      <c r="D21" t="n">
        <v>1412606</v>
      </c>
      <c r="E21" t="n">
        <v>1425359</v>
      </c>
      <c r="F21">
        <f>HYPERLINK("http://imap3images.s3-website-us-east-1.amazonaws.com/1425359/p/imap_app_photo_1719256269079.jpg", "View")</f>
        <v/>
      </c>
      <c r="G21" t="inlineStr">
        <is>
          <t>http://imap3images.s3-website-us-east-1.amazonaws.com/1425359/p/imap_app_photo_1719256269079.jpg</t>
        </is>
      </c>
      <c r="H21" t="inlineStr">
        <is>
          <t>Lonicera maackii</t>
        </is>
      </c>
      <c r="I21" t="inlineStr">
        <is>
          <t>Amur Honeysuckle</t>
        </is>
      </c>
      <c r="J21" t="inlineStr">
        <is>
          <t>82342</t>
        </is>
      </c>
      <c r="K21">
        <f>HYPERLINK("https://www.inaturalist.org/taxa/82342-Lonicera-maackii", "View")</f>
        <v/>
      </c>
      <c r="L21" t="inlineStr">
        <is>
          <t>https://www.inaturalist.org/taxa/82342-Lonicera-maackii</t>
        </is>
      </c>
      <c r="M21" t="inlineStr">
        <is>
          <t>Lonicera maackii</t>
        </is>
      </c>
      <c r="N21" t="inlineStr">
        <is>
          <t>Amur honeysuckle</t>
        </is>
      </c>
      <c r="O21" t="inlineStr">
        <is>
          <t>82342</t>
        </is>
      </c>
      <c r="P21" t="n">
        <v>26.79</v>
      </c>
      <c r="Q21" t="n">
        <v>0.11</v>
      </c>
      <c r="R21" t="n">
        <v>1</v>
      </c>
      <c r="S21" t="inlineStr">
        <is>
          <t>Match</t>
        </is>
      </c>
      <c r="T21" t="inlineStr">
        <is>
          <t>4</t>
        </is>
      </c>
      <c r="U21" t="n">
        <v>91.63</v>
      </c>
      <c r="V21" t="n">
        <v>19.88</v>
      </c>
      <c r="W21" t="inlineStr">
        <is>
          <t>Below</t>
        </is>
      </c>
      <c r="X21" t="inlineStr">
        <is>
          <t>Above</t>
        </is>
      </c>
      <c r="Y21" t="inlineStr">
        <is>
          <t>Manual review</t>
        </is>
      </c>
    </row>
    <row r="22">
      <c r="A22" t="n">
        <v>21</v>
      </c>
      <c r="B22">
        <f>HYPERLINK("https://imapinvasives.natureserve.org/imap/services/page/Presence/1412166.html", "View")</f>
        <v/>
      </c>
      <c r="C22" t="inlineStr">
        <is>
          <t>https://imapinvasives.natureserve.org/imap/services/page/Presence/1412166.html</t>
        </is>
      </c>
      <c r="D22" t="n">
        <v>1412166</v>
      </c>
      <c r="E22" t="n">
        <v>1424862</v>
      </c>
      <c r="F22">
        <f>HYPERLINK("http://imap3images.s3-website-us-east-1.amazonaws.com/1424862/p/imap_app_photo_1718829264781.jpg", "View")</f>
        <v/>
      </c>
      <c r="G22" t="inlineStr">
        <is>
          <t>http://imap3images.s3-website-us-east-1.amazonaws.com/1424862/p/imap_app_photo_1718829264781.jpg</t>
        </is>
      </c>
      <c r="H22" t="inlineStr">
        <is>
          <t>Lonicera maackii</t>
        </is>
      </c>
      <c r="I22" t="inlineStr">
        <is>
          <t>Amur Honeysuckle</t>
        </is>
      </c>
      <c r="J22" t="inlineStr">
        <is>
          <t>82342</t>
        </is>
      </c>
      <c r="K22">
        <f>HYPERLINK("https://www.inaturalist.org/taxa/59773-Lonicera-morrowii", "View")</f>
        <v/>
      </c>
      <c r="L22" t="inlineStr">
        <is>
          <t>https://www.inaturalist.org/taxa/59773-Lonicera-morrowii</t>
        </is>
      </c>
      <c r="M22" t="inlineStr">
        <is>
          <t>Lonicera morrowii</t>
        </is>
      </c>
      <c r="N22" t="inlineStr">
        <is>
          <t>Morrow's honeysuckle</t>
        </is>
      </c>
      <c r="O22" t="inlineStr">
        <is>
          <t>59773</t>
        </is>
      </c>
      <c r="P22" t="n">
        <v>47.39</v>
      </c>
      <c r="Q22" t="n">
        <v>88.95999999999999</v>
      </c>
      <c r="R22" t="n">
        <v>1</v>
      </c>
      <c r="S22" t="inlineStr">
        <is>
          <t>Match</t>
        </is>
      </c>
      <c r="T22" t="inlineStr">
        <is>
          <t>4</t>
        </is>
      </c>
      <c r="U22" t="n">
        <v>91.63</v>
      </c>
      <c r="V22" t="n">
        <v>19.88</v>
      </c>
      <c r="W22" t="inlineStr">
        <is>
          <t>Below</t>
        </is>
      </c>
      <c r="X22" t="inlineStr">
        <is>
          <t>Above</t>
        </is>
      </c>
      <c r="Y22" t="inlineStr">
        <is>
          <t>Manual review</t>
        </is>
      </c>
    </row>
    <row r="23">
      <c r="A23" t="n">
        <v>22</v>
      </c>
      <c r="B23">
        <f>HYPERLINK("https://imapinvasives.natureserve.org/imap/services/page/Presence/1411492.html", "View")</f>
        <v/>
      </c>
      <c r="C23" t="inlineStr">
        <is>
          <t>https://imapinvasives.natureserve.org/imap/services/page/Presence/1411492.html</t>
        </is>
      </c>
      <c r="D23" t="n">
        <v>1411492</v>
      </c>
      <c r="E23" t="n">
        <v>1424096</v>
      </c>
      <c r="F23">
        <f>HYPERLINK("http://imap3images.s3-website-us-east-1.amazonaws.com/1424096/p/imap_app_photo_1718394064596.jpg", "View")</f>
        <v/>
      </c>
      <c r="G23" t="inlineStr">
        <is>
          <t>http://imap3images.s3-website-us-east-1.amazonaws.com/1424096/p/imap_app_photo_1718394064596.jpg</t>
        </is>
      </c>
      <c r="H23" t="inlineStr">
        <is>
          <t>Lonicera maackii</t>
        </is>
      </c>
      <c r="I23" t="inlineStr">
        <is>
          <t>Amur Honeysuckle</t>
        </is>
      </c>
      <c r="J23" t="inlineStr">
        <is>
          <t>82342</t>
        </is>
      </c>
      <c r="K23">
        <f>HYPERLINK("https://www.inaturalist.org/taxa/82342-Lonicera-maackii", "View")</f>
        <v/>
      </c>
      <c r="L23" t="inlineStr">
        <is>
          <t>https://www.inaturalist.org/taxa/82342-Lonicera-maackii</t>
        </is>
      </c>
      <c r="M23" t="inlineStr">
        <is>
          <t>Lonicera maackii</t>
        </is>
      </c>
      <c r="N23" t="inlineStr">
        <is>
          <t>Amur honeysuckle</t>
        </is>
      </c>
      <c r="O23" t="inlineStr">
        <is>
          <t>82342</t>
        </is>
      </c>
      <c r="P23" t="n">
        <v>26.79</v>
      </c>
      <c r="Q23" t="n">
        <v>81.09</v>
      </c>
      <c r="R23" t="n">
        <v>1</v>
      </c>
      <c r="S23" t="inlineStr">
        <is>
          <t>Match</t>
        </is>
      </c>
      <c r="T23" t="inlineStr">
        <is>
          <t>4</t>
        </is>
      </c>
      <c r="U23" t="n">
        <v>91.63</v>
      </c>
      <c r="V23" t="n">
        <v>19.88</v>
      </c>
      <c r="W23" t="inlineStr">
        <is>
          <t>Below</t>
        </is>
      </c>
      <c r="X23" t="inlineStr">
        <is>
          <t>Above</t>
        </is>
      </c>
      <c r="Y23" t="inlineStr">
        <is>
          <t>Manual review</t>
        </is>
      </c>
    </row>
    <row r="24">
      <c r="A24" t="n">
        <v>23</v>
      </c>
      <c r="B24">
        <f>HYPERLINK("https://imapinvasives.natureserve.org/imap/services/page/Presence/1411491.html", "View")</f>
        <v/>
      </c>
      <c r="C24" t="inlineStr">
        <is>
          <t>https://imapinvasives.natureserve.org/imap/services/page/Presence/1411491.html</t>
        </is>
      </c>
      <c r="D24" t="n">
        <v>1411491</v>
      </c>
      <c r="E24" t="n">
        <v>1424095</v>
      </c>
      <c r="F24">
        <f>HYPERLINK("http://imap3images.s3-website-us-east-1.amazonaws.com/1424095/p/imap_app_photo_1718394061093.jpg", "View")</f>
        <v/>
      </c>
      <c r="G24" t="inlineStr">
        <is>
          <t>http://imap3images.s3-website-us-east-1.amazonaws.com/1424095/p/imap_app_photo_1718394061093.jpg</t>
        </is>
      </c>
      <c r="H24" t="inlineStr">
        <is>
          <t>Lonicera maackii</t>
        </is>
      </c>
      <c r="I24" t="inlineStr">
        <is>
          <t>Amur Honeysuckle</t>
        </is>
      </c>
      <c r="J24" t="inlineStr">
        <is>
          <t>82342</t>
        </is>
      </c>
      <c r="K24">
        <f>HYPERLINK("https://www.inaturalist.org/taxa/82342-Lonicera-maackii", "View")</f>
        <v/>
      </c>
      <c r="L24" t="inlineStr">
        <is>
          <t>https://www.inaturalist.org/taxa/82342-Lonicera-maackii</t>
        </is>
      </c>
      <c r="M24" t="inlineStr">
        <is>
          <t>Lonicera maackii</t>
        </is>
      </c>
      <c r="N24" t="inlineStr">
        <is>
          <t>Amur honeysuckle</t>
        </is>
      </c>
      <c r="O24" t="inlineStr">
        <is>
          <t>82342</t>
        </is>
      </c>
      <c r="P24" t="n">
        <v>26.79</v>
      </c>
      <c r="Q24" t="n">
        <v>86.79000000000001</v>
      </c>
      <c r="R24" t="n">
        <v>1</v>
      </c>
      <c r="S24" t="inlineStr">
        <is>
          <t>Match</t>
        </is>
      </c>
      <c r="T24" t="inlineStr">
        <is>
          <t>4</t>
        </is>
      </c>
      <c r="U24" t="n">
        <v>91.63</v>
      </c>
      <c r="V24" t="n">
        <v>19.88</v>
      </c>
      <c r="W24" t="inlineStr">
        <is>
          <t>Below</t>
        </is>
      </c>
      <c r="X24" t="inlineStr">
        <is>
          <t>Above</t>
        </is>
      </c>
      <c r="Y24" t="inlineStr">
        <is>
          <t>Manual review</t>
        </is>
      </c>
    </row>
    <row r="25">
      <c r="A25" t="n">
        <v>24</v>
      </c>
      <c r="B25">
        <f>HYPERLINK("https://imapinvasives.natureserve.org/imap/services/page/Presence/1411490.html", "View")</f>
        <v/>
      </c>
      <c r="C25" t="inlineStr">
        <is>
          <t>https://imapinvasives.natureserve.org/imap/services/page/Presence/1411490.html</t>
        </is>
      </c>
      <c r="D25" t="n">
        <v>1411490</v>
      </c>
      <c r="E25" t="n">
        <v>1424094</v>
      </c>
      <c r="F25">
        <f>HYPERLINK("http://imap3images.s3-website-us-east-1.amazonaws.com/1424094/p/imap_app_photo_1718394057196.jpg", "View")</f>
        <v/>
      </c>
      <c r="G25" t="inlineStr">
        <is>
          <t>http://imap3images.s3-website-us-east-1.amazonaws.com/1424094/p/imap_app_photo_1718394057196.jpg</t>
        </is>
      </c>
      <c r="H25" t="inlineStr">
        <is>
          <t>Lonicera maackii</t>
        </is>
      </c>
      <c r="I25" t="inlineStr">
        <is>
          <t>Amur Honeysuckle</t>
        </is>
      </c>
      <c r="J25" t="inlineStr">
        <is>
          <t>82342</t>
        </is>
      </c>
      <c r="K25">
        <f>HYPERLINK("https://www.inaturalist.org/taxa/82342-Lonicera-maackii", "View")</f>
        <v/>
      </c>
      <c r="L25" t="inlineStr">
        <is>
          <t>https://www.inaturalist.org/taxa/82342-Lonicera-maackii</t>
        </is>
      </c>
      <c r="M25" t="inlineStr">
        <is>
          <t>Lonicera maackii</t>
        </is>
      </c>
      <c r="N25" t="inlineStr">
        <is>
          <t>Amur honeysuckle</t>
        </is>
      </c>
      <c r="O25" t="inlineStr">
        <is>
          <t>82342</t>
        </is>
      </c>
      <c r="P25" t="n">
        <v>26.79</v>
      </c>
      <c r="Q25" t="n">
        <v>60.05</v>
      </c>
      <c r="R25" t="n">
        <v>1</v>
      </c>
      <c r="S25" t="inlineStr">
        <is>
          <t>Match</t>
        </is>
      </c>
      <c r="T25" t="inlineStr">
        <is>
          <t>4</t>
        </is>
      </c>
      <c r="U25" t="n">
        <v>91.63</v>
      </c>
      <c r="V25" t="n">
        <v>19.88</v>
      </c>
      <c r="W25" t="inlineStr">
        <is>
          <t>Below</t>
        </is>
      </c>
      <c r="X25" t="inlineStr">
        <is>
          <t>Above</t>
        </is>
      </c>
      <c r="Y25" t="inlineStr">
        <is>
          <t>Manual review</t>
        </is>
      </c>
    </row>
    <row r="26">
      <c r="A26" t="n">
        <v>25</v>
      </c>
      <c r="B26">
        <f>HYPERLINK("https://imapinvasives.natureserve.org/imap/services/page/Presence/1411488.html", "View")</f>
        <v/>
      </c>
      <c r="C26" t="inlineStr">
        <is>
          <t>https://imapinvasives.natureserve.org/imap/services/page/Presence/1411488.html</t>
        </is>
      </c>
      <c r="D26" t="n">
        <v>1411488</v>
      </c>
      <c r="E26" t="n">
        <v>1424092</v>
      </c>
      <c r="F26">
        <f>HYPERLINK("http://imap3images.s3-website-us-east-1.amazonaws.com/1424092/p/imap_app_photo_1718394042041.jpg", "View")</f>
        <v/>
      </c>
      <c r="G26" t="inlineStr">
        <is>
          <t>http://imap3images.s3-website-us-east-1.amazonaws.com/1424092/p/imap_app_photo_1718394042041.jpg</t>
        </is>
      </c>
      <c r="H26" t="inlineStr">
        <is>
          <t>Lonicera maackii</t>
        </is>
      </c>
      <c r="I26" t="inlineStr">
        <is>
          <t>Amur Honeysuckle</t>
        </is>
      </c>
      <c r="J26" t="inlineStr">
        <is>
          <t>82342</t>
        </is>
      </c>
      <c r="K26">
        <f>HYPERLINK("https://www.inaturalist.org/taxa/82342-Lonicera-maackii", "View")</f>
        <v/>
      </c>
      <c r="L26" t="inlineStr">
        <is>
          <t>https://www.inaturalist.org/taxa/82342-Lonicera-maackii</t>
        </is>
      </c>
      <c r="M26" t="inlineStr">
        <is>
          <t>Lonicera maackii</t>
        </is>
      </c>
      <c r="N26" t="inlineStr">
        <is>
          <t>Amur honeysuckle</t>
        </is>
      </c>
      <c r="O26" t="inlineStr">
        <is>
          <t>82342</t>
        </is>
      </c>
      <c r="P26" t="n">
        <v>26.79</v>
      </c>
      <c r="Q26" t="n">
        <v>57.04</v>
      </c>
      <c r="R26" t="n">
        <v>1</v>
      </c>
      <c r="S26" t="inlineStr">
        <is>
          <t>Match</t>
        </is>
      </c>
      <c r="T26" t="inlineStr">
        <is>
          <t>4</t>
        </is>
      </c>
      <c r="U26" t="n">
        <v>91.63</v>
      </c>
      <c r="V26" t="n">
        <v>19.88</v>
      </c>
      <c r="W26" t="inlineStr">
        <is>
          <t>Below</t>
        </is>
      </c>
      <c r="X26" t="inlineStr">
        <is>
          <t>Above</t>
        </is>
      </c>
      <c r="Y26" t="inlineStr">
        <is>
          <t>Manual review</t>
        </is>
      </c>
    </row>
    <row r="27">
      <c r="A27" t="n">
        <v>26</v>
      </c>
      <c r="B27">
        <f>HYPERLINK("https://imapinvasives.natureserve.org/imap/services/page/Presence/1411487.html", "View")</f>
        <v/>
      </c>
      <c r="C27" t="inlineStr">
        <is>
          <t>https://imapinvasives.natureserve.org/imap/services/page/Presence/1411487.html</t>
        </is>
      </c>
      <c r="D27" t="n">
        <v>1411487</v>
      </c>
      <c r="E27" t="n">
        <v>1424091</v>
      </c>
      <c r="F27">
        <f>HYPERLINK("http://imap3images.s3-website-us-east-1.amazonaws.com/1424091/p/imap_app_photo_1718394038719.jpg", "View")</f>
        <v/>
      </c>
      <c r="G27" t="inlineStr">
        <is>
          <t>http://imap3images.s3-website-us-east-1.amazonaws.com/1424091/p/imap_app_photo_1718394038719.jpg</t>
        </is>
      </c>
      <c r="H27" t="inlineStr">
        <is>
          <t>Lonicera maackii</t>
        </is>
      </c>
      <c r="I27" t="inlineStr">
        <is>
          <t>Amur Honeysuckle</t>
        </is>
      </c>
      <c r="J27" t="inlineStr">
        <is>
          <t>82342</t>
        </is>
      </c>
      <c r="K27">
        <f>HYPERLINK("https://www.inaturalist.org/taxa/82342-Lonicera-maackii", "View")</f>
        <v/>
      </c>
      <c r="L27" t="inlineStr">
        <is>
          <t>https://www.inaturalist.org/taxa/82342-Lonicera-maackii</t>
        </is>
      </c>
      <c r="M27" t="inlineStr">
        <is>
          <t>Lonicera maackii</t>
        </is>
      </c>
      <c r="N27" t="inlineStr">
        <is>
          <t>Amur honeysuckle</t>
        </is>
      </c>
      <c r="O27" t="inlineStr">
        <is>
          <t>82342</t>
        </is>
      </c>
      <c r="P27" t="n">
        <v>26.79</v>
      </c>
      <c r="Q27" t="n">
        <v>70.84999999999999</v>
      </c>
      <c r="R27" t="n">
        <v>1</v>
      </c>
      <c r="S27" t="inlineStr">
        <is>
          <t>Match</t>
        </is>
      </c>
      <c r="T27" t="inlineStr">
        <is>
          <t>4</t>
        </is>
      </c>
      <c r="U27" t="n">
        <v>91.63</v>
      </c>
      <c r="V27" t="n">
        <v>19.88</v>
      </c>
      <c r="W27" t="inlineStr">
        <is>
          <t>Below</t>
        </is>
      </c>
      <c r="X27" t="inlineStr">
        <is>
          <t>Above</t>
        </is>
      </c>
      <c r="Y27" t="inlineStr">
        <is>
          <t>Manual review</t>
        </is>
      </c>
    </row>
    <row r="28">
      <c r="A28" t="n">
        <v>27</v>
      </c>
      <c r="B28">
        <f>HYPERLINK("https://imapinvasives.natureserve.org/imap/services/page/Presence/1411486.html", "View")</f>
        <v/>
      </c>
      <c r="C28" t="inlineStr">
        <is>
          <t>https://imapinvasives.natureserve.org/imap/services/page/Presence/1411486.html</t>
        </is>
      </c>
      <c r="D28" t="n">
        <v>1411486</v>
      </c>
      <c r="E28" t="n">
        <v>1424090</v>
      </c>
      <c r="F28">
        <f>HYPERLINK("http://imap3images.s3-website-us-east-1.amazonaws.com/1424090/p/imap_app_photo_1718394035393.jpg", "View")</f>
        <v/>
      </c>
      <c r="G28" t="inlineStr">
        <is>
          <t>http://imap3images.s3-website-us-east-1.amazonaws.com/1424090/p/imap_app_photo_1718394035393.jpg</t>
        </is>
      </c>
      <c r="H28" t="inlineStr">
        <is>
          <t>Lonicera maackii</t>
        </is>
      </c>
      <c r="I28" t="inlineStr">
        <is>
          <t>Amur Honeysuckle</t>
        </is>
      </c>
      <c r="J28" t="inlineStr">
        <is>
          <t>82342</t>
        </is>
      </c>
      <c r="K28">
        <f>HYPERLINK("https://www.inaturalist.org/taxa/82342-Lonicera-maackii", "View")</f>
        <v/>
      </c>
      <c r="L28" t="inlineStr">
        <is>
          <t>https://www.inaturalist.org/taxa/82342-Lonicera-maackii</t>
        </is>
      </c>
      <c r="M28" t="inlineStr">
        <is>
          <t>Lonicera maackii</t>
        </is>
      </c>
      <c r="N28" t="inlineStr">
        <is>
          <t>Amur honeysuckle</t>
        </is>
      </c>
      <c r="O28" t="inlineStr">
        <is>
          <t>82342</t>
        </is>
      </c>
      <c r="P28" t="n">
        <v>26.79</v>
      </c>
      <c r="Q28" t="n">
        <v>6.46</v>
      </c>
      <c r="R28" t="n">
        <v>1</v>
      </c>
      <c r="S28" t="inlineStr">
        <is>
          <t>Match</t>
        </is>
      </c>
      <c r="T28" t="inlineStr">
        <is>
          <t>4</t>
        </is>
      </c>
      <c r="U28" t="n">
        <v>91.63</v>
      </c>
      <c r="V28" t="n">
        <v>19.88</v>
      </c>
      <c r="W28" t="inlineStr">
        <is>
          <t>Below</t>
        </is>
      </c>
      <c r="X28" t="inlineStr">
        <is>
          <t>Above</t>
        </is>
      </c>
      <c r="Y28" t="inlineStr">
        <is>
          <t>Manual review</t>
        </is>
      </c>
    </row>
    <row r="29">
      <c r="A29" t="n">
        <v>28</v>
      </c>
      <c r="B29">
        <f>HYPERLINK("https://imapinvasives.natureserve.org/imap/services/page/Presence/1411485.html", "View")</f>
        <v/>
      </c>
      <c r="C29" t="inlineStr">
        <is>
          <t>https://imapinvasives.natureserve.org/imap/services/page/Presence/1411485.html</t>
        </is>
      </c>
      <c r="D29" t="n">
        <v>1411485</v>
      </c>
      <c r="E29" t="n">
        <v>1424089</v>
      </c>
      <c r="F29">
        <f>HYPERLINK("http://imap3images.s3-website-us-east-1.amazonaws.com/1424089/p/imap_app_photo_1718394031810.jpg", "View")</f>
        <v/>
      </c>
      <c r="G29" t="inlineStr">
        <is>
          <t>http://imap3images.s3-website-us-east-1.amazonaws.com/1424089/p/imap_app_photo_1718394031810.jpg</t>
        </is>
      </c>
      <c r="H29" t="inlineStr">
        <is>
          <t>Lonicera maackii</t>
        </is>
      </c>
      <c r="I29" t="inlineStr">
        <is>
          <t>Amur Honeysuckle</t>
        </is>
      </c>
      <c r="J29" t="inlineStr">
        <is>
          <t>82342</t>
        </is>
      </c>
      <c r="K29">
        <f>HYPERLINK("https://www.inaturalist.org/taxa/82342-Lonicera-maackii", "View")</f>
        <v/>
      </c>
      <c r="L29" t="inlineStr">
        <is>
          <t>https://www.inaturalist.org/taxa/82342-Lonicera-maackii</t>
        </is>
      </c>
      <c r="M29" t="inlineStr">
        <is>
          <t>Lonicera maackii</t>
        </is>
      </c>
      <c r="N29" t="inlineStr">
        <is>
          <t>Amur honeysuckle</t>
        </is>
      </c>
      <c r="O29" t="inlineStr">
        <is>
          <t>82342</t>
        </is>
      </c>
      <c r="P29" t="n">
        <v>26.79</v>
      </c>
      <c r="Q29" t="n">
        <v>63.3</v>
      </c>
      <c r="R29" t="n">
        <v>1</v>
      </c>
      <c r="S29" t="inlineStr">
        <is>
          <t>Match</t>
        </is>
      </c>
      <c r="T29" t="inlineStr">
        <is>
          <t>4</t>
        </is>
      </c>
      <c r="U29" t="n">
        <v>91.63</v>
      </c>
      <c r="V29" t="n">
        <v>19.88</v>
      </c>
      <c r="W29" t="inlineStr">
        <is>
          <t>Below</t>
        </is>
      </c>
      <c r="X29" t="inlineStr">
        <is>
          <t>Above</t>
        </is>
      </c>
      <c r="Y29" t="inlineStr">
        <is>
          <t>Manual review</t>
        </is>
      </c>
    </row>
    <row r="30">
      <c r="A30" t="n">
        <v>29</v>
      </c>
      <c r="B30">
        <f>HYPERLINK("https://imapinvasives.natureserve.org/imap/services/page/Presence/1411484.html", "View")</f>
        <v/>
      </c>
      <c r="C30" t="inlineStr">
        <is>
          <t>https://imapinvasives.natureserve.org/imap/services/page/Presence/1411484.html</t>
        </is>
      </c>
      <c r="D30" t="n">
        <v>1411484</v>
      </c>
      <c r="E30" t="n">
        <v>1424088</v>
      </c>
      <c r="F30">
        <f>HYPERLINK("http://imap3images.s3-website-us-east-1.amazonaws.com/1424088/p/imap_app_photo_1718394028490.jpg", "View")</f>
        <v/>
      </c>
      <c r="G30" t="inlineStr">
        <is>
          <t>http://imap3images.s3-website-us-east-1.amazonaws.com/1424088/p/imap_app_photo_1718394028490.jpg</t>
        </is>
      </c>
      <c r="H30" t="inlineStr">
        <is>
          <t>Lonicera maackii</t>
        </is>
      </c>
      <c r="I30" t="inlineStr">
        <is>
          <t>Amur Honeysuckle</t>
        </is>
      </c>
      <c r="J30" t="inlineStr">
        <is>
          <t>82342</t>
        </is>
      </c>
      <c r="K30">
        <f>HYPERLINK("https://www.inaturalist.org/taxa/82342-Lonicera-maackii", "View")</f>
        <v/>
      </c>
      <c r="L30" t="inlineStr">
        <is>
          <t>https://www.inaturalist.org/taxa/82342-Lonicera-maackii</t>
        </is>
      </c>
      <c r="M30" t="inlineStr">
        <is>
          <t>Lonicera maackii</t>
        </is>
      </c>
      <c r="N30" t="inlineStr">
        <is>
          <t>Amur honeysuckle</t>
        </is>
      </c>
      <c r="O30" t="inlineStr">
        <is>
          <t>82342</t>
        </is>
      </c>
      <c r="P30" t="n">
        <v>26.79</v>
      </c>
      <c r="Q30" t="n">
        <v>15.22</v>
      </c>
      <c r="R30" t="n">
        <v>1</v>
      </c>
      <c r="S30" t="inlineStr">
        <is>
          <t>Match</t>
        </is>
      </c>
      <c r="T30" t="inlineStr">
        <is>
          <t>4</t>
        </is>
      </c>
      <c r="U30" t="n">
        <v>91.63</v>
      </c>
      <c r="V30" t="n">
        <v>19.88</v>
      </c>
      <c r="W30" t="inlineStr">
        <is>
          <t>Below</t>
        </is>
      </c>
      <c r="X30" t="inlineStr">
        <is>
          <t>Above</t>
        </is>
      </c>
      <c r="Y30" t="inlineStr">
        <is>
          <t>Manual review</t>
        </is>
      </c>
    </row>
    <row r="31">
      <c r="A31" t="n">
        <v>30</v>
      </c>
      <c r="B31">
        <f>HYPERLINK("https://imapinvasives.natureserve.org/imap/services/page/Presence/1411483.html", "View")</f>
        <v/>
      </c>
      <c r="C31" t="inlineStr">
        <is>
          <t>https://imapinvasives.natureserve.org/imap/services/page/Presence/1411483.html</t>
        </is>
      </c>
      <c r="D31" t="n">
        <v>1411483</v>
      </c>
      <c r="E31" t="n">
        <v>1424087</v>
      </c>
      <c r="F31">
        <f>HYPERLINK("http://imap3images.s3-website-us-east-1.amazonaws.com/1424087/p/imap_app_photo_1718394022543.jpg", "View")</f>
        <v/>
      </c>
      <c r="G31" t="inlineStr">
        <is>
          <t>http://imap3images.s3-website-us-east-1.amazonaws.com/1424087/p/imap_app_photo_1718394022543.jpg</t>
        </is>
      </c>
      <c r="H31" t="inlineStr">
        <is>
          <t>Lonicera maackii</t>
        </is>
      </c>
      <c r="I31" t="inlineStr">
        <is>
          <t>Amur Honeysuckle</t>
        </is>
      </c>
      <c r="J31" t="inlineStr">
        <is>
          <t>82342</t>
        </is>
      </c>
      <c r="K31">
        <f>HYPERLINK("https://www.inaturalist.org/taxa/82342-Lonicera-maackii", "View")</f>
        <v/>
      </c>
      <c r="L31" t="inlineStr">
        <is>
          <t>https://www.inaturalist.org/taxa/82342-Lonicera-maackii</t>
        </is>
      </c>
      <c r="M31" t="inlineStr">
        <is>
          <t>Lonicera maackii</t>
        </is>
      </c>
      <c r="N31" t="inlineStr">
        <is>
          <t>Amur honeysuckle</t>
        </is>
      </c>
      <c r="O31" t="inlineStr">
        <is>
          <t>82342</t>
        </is>
      </c>
      <c r="P31" t="n">
        <v>26.79</v>
      </c>
      <c r="Q31" t="n">
        <v>23.21</v>
      </c>
      <c r="R31" t="n">
        <v>1</v>
      </c>
      <c r="S31" t="inlineStr">
        <is>
          <t>Match</t>
        </is>
      </c>
      <c r="T31" t="inlineStr">
        <is>
          <t>4</t>
        </is>
      </c>
      <c r="U31" t="n">
        <v>91.63</v>
      </c>
      <c r="V31" t="n">
        <v>19.88</v>
      </c>
      <c r="W31" t="inlineStr">
        <is>
          <t>Below</t>
        </is>
      </c>
      <c r="X31" t="inlineStr">
        <is>
          <t>Above</t>
        </is>
      </c>
      <c r="Y31" t="inlineStr">
        <is>
          <t>Manual review</t>
        </is>
      </c>
    </row>
    <row r="32">
      <c r="A32" t="n">
        <v>31</v>
      </c>
      <c r="B32">
        <f>HYPERLINK("https://imapinvasives.natureserve.org/imap/services/page/Presence/1411482.html", "View")</f>
        <v/>
      </c>
      <c r="C32" t="inlineStr">
        <is>
          <t>https://imapinvasives.natureserve.org/imap/services/page/Presence/1411482.html</t>
        </is>
      </c>
      <c r="D32" t="n">
        <v>1411482</v>
      </c>
      <c r="E32" t="n">
        <v>1424086</v>
      </c>
      <c r="F32">
        <f>HYPERLINK("http://imap3images.s3-website-us-east-1.amazonaws.com/1424086/p/imap_app_photo_1718394019002.jpg", "View")</f>
        <v/>
      </c>
      <c r="G32" t="inlineStr">
        <is>
          <t>http://imap3images.s3-website-us-east-1.amazonaws.com/1424086/p/imap_app_photo_1718394019002.jpg</t>
        </is>
      </c>
      <c r="H32" t="inlineStr">
        <is>
          <t>Lonicera maackii</t>
        </is>
      </c>
      <c r="I32" t="inlineStr">
        <is>
          <t>Amur Honeysuckle</t>
        </is>
      </c>
      <c r="J32" t="inlineStr">
        <is>
          <t>82342</t>
        </is>
      </c>
      <c r="K32">
        <f>HYPERLINK("https://www.inaturalist.org/taxa/82342-Lonicera-maackii", "View")</f>
        <v/>
      </c>
      <c r="L32" t="inlineStr">
        <is>
          <t>https://www.inaturalist.org/taxa/82342-Lonicera-maackii</t>
        </is>
      </c>
      <c r="M32" t="inlineStr">
        <is>
          <t>Lonicera maackii</t>
        </is>
      </c>
      <c r="N32" t="inlineStr">
        <is>
          <t>Amur honeysuckle</t>
        </is>
      </c>
      <c r="O32" t="inlineStr">
        <is>
          <t>82342</t>
        </is>
      </c>
      <c r="P32" t="n">
        <v>26.79</v>
      </c>
      <c r="Q32" t="n">
        <v>32.3</v>
      </c>
      <c r="R32" t="n">
        <v>1</v>
      </c>
      <c r="S32" t="inlineStr">
        <is>
          <t>Match</t>
        </is>
      </c>
      <c r="T32" t="inlineStr">
        <is>
          <t>4</t>
        </is>
      </c>
      <c r="U32" t="n">
        <v>91.63</v>
      </c>
      <c r="V32" t="n">
        <v>19.88</v>
      </c>
      <c r="W32" t="inlineStr">
        <is>
          <t>Below</t>
        </is>
      </c>
      <c r="X32" t="inlineStr">
        <is>
          <t>Above</t>
        </is>
      </c>
      <c r="Y32" t="inlineStr">
        <is>
          <t>Manual review</t>
        </is>
      </c>
    </row>
    <row r="33">
      <c r="A33" t="n">
        <v>32</v>
      </c>
      <c r="B33">
        <f>HYPERLINK("https://imapinvasives.natureserve.org/imap/services/page/Presence/1411481.html", "View")</f>
        <v/>
      </c>
      <c r="C33" t="inlineStr">
        <is>
          <t>https://imapinvasives.natureserve.org/imap/services/page/Presence/1411481.html</t>
        </is>
      </c>
      <c r="D33" t="n">
        <v>1411481</v>
      </c>
      <c r="E33" t="n">
        <v>1424085</v>
      </c>
      <c r="F33">
        <f>HYPERLINK("http://imap3images.s3-website-us-east-1.amazonaws.com/1424085/p/imap_app_photo_1718394015533.jpg", "View")</f>
        <v/>
      </c>
      <c r="G33" t="inlineStr">
        <is>
          <t>http://imap3images.s3-website-us-east-1.amazonaws.com/1424085/p/imap_app_photo_1718394015533.jpg</t>
        </is>
      </c>
      <c r="H33" t="inlineStr">
        <is>
          <t>Lonicera maackii</t>
        </is>
      </c>
      <c r="I33" t="inlineStr">
        <is>
          <t>Amur Honeysuckle</t>
        </is>
      </c>
      <c r="J33" t="inlineStr">
        <is>
          <t>82342</t>
        </is>
      </c>
      <c r="K33">
        <f>HYPERLINK("https://www.inaturalist.org/taxa/82342-Lonicera-maackii", "View")</f>
        <v/>
      </c>
      <c r="L33" t="inlineStr">
        <is>
          <t>https://www.inaturalist.org/taxa/82342-Lonicera-maackii</t>
        </is>
      </c>
      <c r="M33" t="inlineStr">
        <is>
          <t>Lonicera maackii</t>
        </is>
      </c>
      <c r="N33" t="inlineStr">
        <is>
          <t>Amur honeysuckle</t>
        </is>
      </c>
      <c r="O33" t="inlineStr">
        <is>
          <t>82342</t>
        </is>
      </c>
      <c r="P33" t="n">
        <v>26.79</v>
      </c>
      <c r="Q33" t="n">
        <v>65.25</v>
      </c>
      <c r="R33" t="n">
        <v>1</v>
      </c>
      <c r="S33" t="inlineStr">
        <is>
          <t>Match</t>
        </is>
      </c>
      <c r="T33" t="inlineStr">
        <is>
          <t>4</t>
        </is>
      </c>
      <c r="U33" t="n">
        <v>91.63</v>
      </c>
      <c r="V33" t="n">
        <v>19.88</v>
      </c>
      <c r="W33" t="inlineStr">
        <is>
          <t>Below</t>
        </is>
      </c>
      <c r="X33" t="inlineStr">
        <is>
          <t>Above</t>
        </is>
      </c>
      <c r="Y33" t="inlineStr">
        <is>
          <t>Manual review</t>
        </is>
      </c>
    </row>
    <row r="34">
      <c r="A34" t="n">
        <v>33</v>
      </c>
      <c r="B34">
        <f>HYPERLINK("https://imapinvasives.natureserve.org/imap/services/page/Presence/1411480.html", "View")</f>
        <v/>
      </c>
      <c r="C34" t="inlineStr">
        <is>
          <t>https://imapinvasives.natureserve.org/imap/services/page/Presence/1411480.html</t>
        </is>
      </c>
      <c r="D34" t="n">
        <v>1411480</v>
      </c>
      <c r="E34" t="n">
        <v>1424084</v>
      </c>
      <c r="F34">
        <f>HYPERLINK("http://imap3images.s3-website-us-east-1.amazonaws.com/1424084/p/imap_app_photo_1718394011713.jpg", "View")</f>
        <v/>
      </c>
      <c r="G34" t="inlineStr">
        <is>
          <t>http://imap3images.s3-website-us-east-1.amazonaws.com/1424084/p/imap_app_photo_1718394011713.jpg</t>
        </is>
      </c>
      <c r="H34" t="inlineStr">
        <is>
          <t>Lonicera maackii</t>
        </is>
      </c>
      <c r="I34" t="inlineStr">
        <is>
          <t>Amur Honeysuckle</t>
        </is>
      </c>
      <c r="J34" t="inlineStr">
        <is>
          <t>82342</t>
        </is>
      </c>
      <c r="K34">
        <f>HYPERLINK("https://www.inaturalist.org/taxa/82342-Lonicera-maackii", "View")</f>
        <v/>
      </c>
      <c r="L34" t="inlineStr">
        <is>
          <t>https://www.inaturalist.org/taxa/82342-Lonicera-maackii</t>
        </is>
      </c>
      <c r="M34" t="inlineStr">
        <is>
          <t>Lonicera maackii</t>
        </is>
      </c>
      <c r="N34" t="inlineStr">
        <is>
          <t>Amur honeysuckle</t>
        </is>
      </c>
      <c r="O34" t="inlineStr">
        <is>
          <t>82342</t>
        </is>
      </c>
      <c r="P34" t="n">
        <v>26.79</v>
      </c>
      <c r="Q34" t="n">
        <v>3.19</v>
      </c>
      <c r="R34" t="n">
        <v>1</v>
      </c>
      <c r="S34" t="inlineStr">
        <is>
          <t>Match</t>
        </is>
      </c>
      <c r="T34" t="inlineStr">
        <is>
          <t>4</t>
        </is>
      </c>
      <c r="U34" t="n">
        <v>91.63</v>
      </c>
      <c r="V34" t="n">
        <v>19.88</v>
      </c>
      <c r="W34" t="inlineStr">
        <is>
          <t>Below</t>
        </is>
      </c>
      <c r="X34" t="inlineStr">
        <is>
          <t>Above</t>
        </is>
      </c>
      <c r="Y34" t="inlineStr">
        <is>
          <t>Manual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2025-07-07T04:21:03Z</dcterms:created>
  <dcterms:modified xmlns:dcterms="http://purl.org/dc/terms/" xmlns:xsi="http://www.w3.org/2001/XMLSchema-instance" xsi:type="dcterms:W3CDTF">2025-07-07T04:21:03Z</dcterms:modified>
</cp:coreProperties>
</file>