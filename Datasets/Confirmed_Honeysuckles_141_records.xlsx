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16808\OneDrive - SUNY ESF\Desktop\3 New iMapInvasives Species identified by VisionAPI\Confirmed\"/>
    </mc:Choice>
  </mc:AlternateContent>
  <xr:revisionPtr revIDLastSave="0" documentId="13_ncr:1_{DF85BAF8-79D6-41C3-A093-E125E15C1919}" xr6:coauthVersionLast="47" xr6:coauthVersionMax="47" xr10:uidLastSave="{00000000-0000-0000-0000-000000000000}"/>
  <bookViews>
    <workbookView xWindow="28680" yWindow="-120" windowWidth="518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F38" i="1"/>
  <c r="K143" i="1"/>
  <c r="F143" i="1"/>
  <c r="B143" i="1"/>
  <c r="K142" i="1"/>
  <c r="F142" i="1"/>
  <c r="B142" i="1"/>
  <c r="K141" i="1"/>
  <c r="F141" i="1"/>
  <c r="B141" i="1"/>
  <c r="K140" i="1"/>
  <c r="F140" i="1"/>
  <c r="B140" i="1"/>
  <c r="K139" i="1"/>
  <c r="F139" i="1"/>
  <c r="B139" i="1"/>
  <c r="K138" i="1"/>
  <c r="F138" i="1"/>
  <c r="B138" i="1"/>
  <c r="K137" i="1"/>
  <c r="F137" i="1"/>
  <c r="B137" i="1"/>
  <c r="K136" i="1"/>
  <c r="F136" i="1"/>
  <c r="B136" i="1"/>
  <c r="K135" i="1"/>
  <c r="F135" i="1"/>
  <c r="B135" i="1"/>
  <c r="K134" i="1"/>
  <c r="F134" i="1"/>
  <c r="B134" i="1"/>
  <c r="K133" i="1"/>
  <c r="F133" i="1"/>
  <c r="B133" i="1"/>
  <c r="K132" i="1"/>
  <c r="F132" i="1"/>
  <c r="B132" i="1"/>
  <c r="K131" i="1"/>
  <c r="F131" i="1"/>
  <c r="B131" i="1"/>
  <c r="K130" i="1"/>
  <c r="F130" i="1"/>
  <c r="B130" i="1"/>
  <c r="K129" i="1"/>
  <c r="F129" i="1"/>
  <c r="B129" i="1"/>
  <c r="K128" i="1"/>
  <c r="F128" i="1"/>
  <c r="B128" i="1"/>
  <c r="K127" i="1"/>
  <c r="F127" i="1"/>
  <c r="B127" i="1"/>
  <c r="K126" i="1"/>
  <c r="F126" i="1"/>
  <c r="B126" i="1"/>
  <c r="K125" i="1"/>
  <c r="F125" i="1"/>
  <c r="B125" i="1"/>
  <c r="K124" i="1"/>
  <c r="F124" i="1"/>
  <c r="B124" i="1"/>
  <c r="K123" i="1"/>
  <c r="F123" i="1"/>
  <c r="B123" i="1"/>
  <c r="K122" i="1"/>
  <c r="F122" i="1"/>
  <c r="B122" i="1"/>
  <c r="K121" i="1"/>
  <c r="F121" i="1"/>
  <c r="B121" i="1"/>
  <c r="K120" i="1"/>
  <c r="F120" i="1"/>
  <c r="B120" i="1"/>
  <c r="K119" i="1"/>
  <c r="F119" i="1"/>
  <c r="B119" i="1"/>
  <c r="K118" i="1"/>
  <c r="F118" i="1"/>
  <c r="B118" i="1"/>
  <c r="K117" i="1"/>
  <c r="F117" i="1"/>
  <c r="B117" i="1"/>
  <c r="K116" i="1"/>
  <c r="F116" i="1"/>
  <c r="B116" i="1"/>
  <c r="K115" i="1"/>
  <c r="F115" i="1"/>
  <c r="B115" i="1"/>
  <c r="K114" i="1"/>
  <c r="F114" i="1"/>
  <c r="B114" i="1"/>
  <c r="K113" i="1"/>
  <c r="F113" i="1"/>
  <c r="B113" i="1"/>
  <c r="K112" i="1"/>
  <c r="F112" i="1"/>
  <c r="B112" i="1"/>
  <c r="K111" i="1"/>
  <c r="F111" i="1"/>
  <c r="B111" i="1"/>
  <c r="K110" i="1"/>
  <c r="F110" i="1"/>
  <c r="B110" i="1"/>
  <c r="K109" i="1"/>
  <c r="F109" i="1"/>
  <c r="B109" i="1"/>
  <c r="K108" i="1"/>
  <c r="F108" i="1"/>
  <c r="B108" i="1"/>
  <c r="K107" i="1"/>
  <c r="F107" i="1"/>
  <c r="B107" i="1"/>
  <c r="K106" i="1"/>
  <c r="F106" i="1"/>
  <c r="B106" i="1"/>
  <c r="K105" i="1"/>
  <c r="F105" i="1"/>
  <c r="B105" i="1"/>
  <c r="K104" i="1"/>
  <c r="F104" i="1"/>
  <c r="B104" i="1"/>
  <c r="K103" i="1"/>
  <c r="F103" i="1"/>
  <c r="B103" i="1"/>
  <c r="K102" i="1"/>
  <c r="F102" i="1"/>
  <c r="B102" i="1"/>
  <c r="K101" i="1"/>
  <c r="F101" i="1"/>
  <c r="B101" i="1"/>
  <c r="K100" i="1"/>
  <c r="F100" i="1"/>
  <c r="B100" i="1"/>
  <c r="K99" i="1"/>
  <c r="F99" i="1"/>
  <c r="B99" i="1"/>
  <c r="K98" i="1"/>
  <c r="F98" i="1"/>
  <c r="B98" i="1"/>
  <c r="K97" i="1"/>
  <c r="F97" i="1"/>
  <c r="B97" i="1"/>
  <c r="K96" i="1"/>
  <c r="F96" i="1"/>
  <c r="B96" i="1"/>
  <c r="K95" i="1"/>
  <c r="F95" i="1"/>
  <c r="B95" i="1"/>
  <c r="K94" i="1"/>
  <c r="F94" i="1"/>
  <c r="B94" i="1"/>
  <c r="K93" i="1"/>
  <c r="F93" i="1"/>
  <c r="B93" i="1"/>
  <c r="K92" i="1"/>
  <c r="F92" i="1"/>
  <c r="B92" i="1"/>
  <c r="K91" i="1"/>
  <c r="F91" i="1"/>
  <c r="B91" i="1"/>
  <c r="K90" i="1"/>
  <c r="F90" i="1"/>
  <c r="B90" i="1"/>
  <c r="K89" i="1"/>
  <c r="F89" i="1"/>
  <c r="B89" i="1"/>
  <c r="K88" i="1"/>
  <c r="F88" i="1"/>
  <c r="B88" i="1"/>
  <c r="K87" i="1"/>
  <c r="F87" i="1"/>
  <c r="B87" i="1"/>
  <c r="K86" i="1"/>
  <c r="F86" i="1"/>
  <c r="B86" i="1"/>
  <c r="K85" i="1"/>
  <c r="F85" i="1"/>
  <c r="B85" i="1"/>
  <c r="K84" i="1"/>
  <c r="F84" i="1"/>
  <c r="B84" i="1"/>
  <c r="K83" i="1"/>
  <c r="F83" i="1"/>
  <c r="B83" i="1"/>
  <c r="K82" i="1"/>
  <c r="F82" i="1"/>
  <c r="B82" i="1"/>
  <c r="K81" i="1"/>
  <c r="F81" i="1"/>
  <c r="B81" i="1"/>
  <c r="K80" i="1"/>
  <c r="F80" i="1"/>
  <c r="B80" i="1"/>
  <c r="K79" i="1"/>
  <c r="F79" i="1"/>
  <c r="B79" i="1"/>
  <c r="K78" i="1"/>
  <c r="F78" i="1"/>
  <c r="B78" i="1"/>
  <c r="K77" i="1"/>
  <c r="F77" i="1"/>
  <c r="B77" i="1"/>
  <c r="K76" i="1"/>
  <c r="F76" i="1"/>
  <c r="B76" i="1"/>
  <c r="K75" i="1"/>
  <c r="F75" i="1"/>
  <c r="B75" i="1"/>
  <c r="K74" i="1"/>
  <c r="F74" i="1"/>
  <c r="B74" i="1"/>
  <c r="K73" i="1"/>
  <c r="F73" i="1"/>
  <c r="B73" i="1"/>
  <c r="K72" i="1"/>
  <c r="F72" i="1"/>
  <c r="B72" i="1"/>
  <c r="K71" i="1"/>
  <c r="F71" i="1"/>
  <c r="B71" i="1"/>
  <c r="K70" i="1"/>
  <c r="F70" i="1"/>
  <c r="B70" i="1"/>
  <c r="K69" i="1"/>
  <c r="F69" i="1"/>
  <c r="B69" i="1"/>
  <c r="K68" i="1"/>
  <c r="F68" i="1"/>
  <c r="B68" i="1"/>
  <c r="K67" i="1"/>
  <c r="F67" i="1"/>
  <c r="B67" i="1"/>
  <c r="K66" i="1"/>
  <c r="F66" i="1"/>
  <c r="B66" i="1"/>
  <c r="K65" i="1"/>
  <c r="F65" i="1"/>
  <c r="B65" i="1"/>
  <c r="K64" i="1"/>
  <c r="F64" i="1"/>
  <c r="B64" i="1"/>
  <c r="K63" i="1"/>
  <c r="F63" i="1"/>
  <c r="B63" i="1"/>
  <c r="K62" i="1"/>
  <c r="F62" i="1"/>
  <c r="B62" i="1"/>
  <c r="K61" i="1"/>
  <c r="F61" i="1"/>
  <c r="B61" i="1"/>
  <c r="K60" i="1"/>
  <c r="F60" i="1"/>
  <c r="B60" i="1"/>
  <c r="K59" i="1"/>
  <c r="F59" i="1"/>
  <c r="B59" i="1"/>
  <c r="K58" i="1"/>
  <c r="F58" i="1"/>
  <c r="B58" i="1"/>
  <c r="K57" i="1"/>
  <c r="F57" i="1"/>
  <c r="B57" i="1"/>
  <c r="K56" i="1"/>
  <c r="F56" i="1"/>
  <c r="B56" i="1"/>
  <c r="K55" i="1"/>
  <c r="F55" i="1"/>
  <c r="B55" i="1"/>
  <c r="K54" i="1"/>
  <c r="F54" i="1"/>
  <c r="B54" i="1"/>
  <c r="K53" i="1"/>
  <c r="F53" i="1"/>
  <c r="B53" i="1"/>
  <c r="K52" i="1"/>
  <c r="F52" i="1"/>
  <c r="B52" i="1"/>
  <c r="K51" i="1"/>
  <c r="F51" i="1"/>
  <c r="B51" i="1"/>
  <c r="K50" i="1"/>
  <c r="F50" i="1"/>
  <c r="B50" i="1"/>
  <c r="K49" i="1"/>
  <c r="F49" i="1"/>
  <c r="B49" i="1"/>
  <c r="K48" i="1"/>
  <c r="F48" i="1"/>
  <c r="B48" i="1"/>
  <c r="K47" i="1"/>
  <c r="F47" i="1"/>
  <c r="B47" i="1"/>
  <c r="K46" i="1"/>
  <c r="F46" i="1"/>
  <c r="B46" i="1"/>
  <c r="K45" i="1"/>
  <c r="B45" i="1"/>
  <c r="K44" i="1"/>
  <c r="F44" i="1"/>
  <c r="B44" i="1"/>
  <c r="K43" i="1"/>
  <c r="F43" i="1"/>
  <c r="B43" i="1"/>
  <c r="K42" i="1"/>
  <c r="F42" i="1"/>
  <c r="B42" i="1"/>
  <c r="K41" i="1"/>
  <c r="F41" i="1"/>
  <c r="B41" i="1"/>
  <c r="K40" i="1"/>
  <c r="F40" i="1"/>
  <c r="B40" i="1"/>
  <c r="K39" i="1"/>
  <c r="F39" i="1"/>
  <c r="B39" i="1"/>
  <c r="K38" i="1"/>
  <c r="B38" i="1"/>
  <c r="K37" i="1"/>
  <c r="F37" i="1"/>
  <c r="B37" i="1"/>
  <c r="K36" i="1"/>
  <c r="F36" i="1"/>
  <c r="B36" i="1"/>
  <c r="K35" i="1"/>
  <c r="F35" i="1"/>
  <c r="B35" i="1"/>
  <c r="K34" i="1"/>
  <c r="F34" i="1"/>
  <c r="B34" i="1"/>
  <c r="K33" i="1"/>
  <c r="F33" i="1"/>
  <c r="B33" i="1"/>
  <c r="K32" i="1"/>
  <c r="F32" i="1"/>
  <c r="B32" i="1"/>
  <c r="K31" i="1"/>
  <c r="F31" i="1"/>
  <c r="B31" i="1"/>
  <c r="K30" i="1"/>
  <c r="F30" i="1"/>
  <c r="B30" i="1"/>
  <c r="K29" i="1"/>
  <c r="F29" i="1"/>
  <c r="B29" i="1"/>
  <c r="K28" i="1"/>
  <c r="F28" i="1"/>
  <c r="B28" i="1"/>
  <c r="K27" i="1"/>
  <c r="F27" i="1"/>
  <c r="B27" i="1"/>
  <c r="K26" i="1"/>
  <c r="F26" i="1"/>
  <c r="B26" i="1"/>
  <c r="K25" i="1"/>
  <c r="F25" i="1"/>
  <c r="B25" i="1"/>
  <c r="K24" i="1"/>
  <c r="F24" i="1"/>
  <c r="B24" i="1"/>
  <c r="K23" i="1"/>
  <c r="F23" i="1"/>
  <c r="B23" i="1"/>
  <c r="K22" i="1"/>
  <c r="F22" i="1"/>
  <c r="B22" i="1"/>
  <c r="K21" i="1"/>
  <c r="F21" i="1"/>
  <c r="B21" i="1"/>
  <c r="K20" i="1"/>
  <c r="F20" i="1"/>
  <c r="B20" i="1"/>
  <c r="K19" i="1"/>
  <c r="F19" i="1"/>
  <c r="B19" i="1"/>
  <c r="K18" i="1"/>
  <c r="F18" i="1"/>
  <c r="B18" i="1"/>
  <c r="K17" i="1"/>
  <c r="F17" i="1"/>
  <c r="B17" i="1"/>
  <c r="K16" i="1"/>
  <c r="F16" i="1"/>
  <c r="B16" i="1"/>
  <c r="K15" i="1"/>
  <c r="F15" i="1"/>
  <c r="B15" i="1"/>
  <c r="K14" i="1"/>
  <c r="F14" i="1"/>
  <c r="B14" i="1"/>
  <c r="K13" i="1"/>
  <c r="F13" i="1"/>
  <c r="B13" i="1"/>
  <c r="K12" i="1"/>
  <c r="F12" i="1"/>
  <c r="B12" i="1"/>
  <c r="K11" i="1"/>
  <c r="F11" i="1"/>
  <c r="B11" i="1"/>
  <c r="K10" i="1"/>
  <c r="F10" i="1"/>
  <c r="B10" i="1"/>
  <c r="K9" i="1"/>
  <c r="F9" i="1"/>
  <c r="B9" i="1"/>
  <c r="K8" i="1"/>
  <c r="F8" i="1"/>
  <c r="B8" i="1"/>
  <c r="K7" i="1"/>
  <c r="F7" i="1"/>
  <c r="B7" i="1"/>
  <c r="K6" i="1"/>
  <c r="F6" i="1"/>
  <c r="B6" i="1"/>
  <c r="K5" i="1"/>
  <c r="F5" i="1"/>
  <c r="B5" i="1"/>
  <c r="K4" i="1"/>
  <c r="F4" i="1"/>
  <c r="B4" i="1"/>
  <c r="K3" i="1"/>
  <c r="F3" i="1"/>
  <c r="B3" i="1"/>
  <c r="K2" i="1"/>
  <c r="F2" i="1"/>
  <c r="B2" i="1"/>
</calcChain>
</file>

<file path=xl/sharedStrings.xml><?xml version="1.0" encoding="utf-8"?>
<sst xmlns="http://schemas.openxmlformats.org/spreadsheetml/2006/main" count="1490" uniqueCount="407">
  <si>
    <t>S.L.</t>
  </si>
  <si>
    <t>imaplink</t>
  </si>
  <si>
    <t>imaplink_raw</t>
  </si>
  <si>
    <t>presenceId</t>
  </si>
  <si>
    <t>presentSpeciesId</t>
  </si>
  <si>
    <t>iMapPhoto</t>
  </si>
  <si>
    <t>iMapPhoto_raw</t>
  </si>
  <si>
    <t>imap_sci</t>
  </si>
  <si>
    <t>imap_com</t>
  </si>
  <si>
    <t>imap_record_taxon</t>
  </si>
  <si>
    <t>inatlink</t>
  </si>
  <si>
    <t>inatlink_raw</t>
  </si>
  <si>
    <t>inat_sci</t>
  </si>
  <si>
    <t>inat_com</t>
  </si>
  <si>
    <t>inat_taxon</t>
  </si>
  <si>
    <t>geo_score</t>
  </si>
  <si>
    <t>com_score</t>
  </si>
  <si>
    <t>visual_model</t>
  </si>
  <si>
    <t>species_label</t>
  </si>
  <si>
    <t>com_status</t>
  </si>
  <si>
    <t>https://imapinvasives.natureserve.org/imap/services/page/Presence/1497721.html</t>
  </si>
  <si>
    <t>http://imap3images.s3-website-us-east-1.amazonaws.com/1515599/p/imap_app_photo_1747832751318.jpg</t>
  </si>
  <si>
    <t>Lonicera maackii</t>
  </si>
  <si>
    <t>Amur Honeysuckle</t>
  </si>
  <si>
    <t>https://www.inaturalist.org/taxa/82342-Lonicera-maackii</t>
  </si>
  <si>
    <t>Amur honeysuckle</t>
  </si>
  <si>
    <t>https://imapinvasives.natureserve.org/imap/services/page/Presence/1497405.html</t>
  </si>
  <si>
    <t>http://imap3images.s3-website-us-east-1.amazonaws.com/1515190/p/imap_app_photo_1747050678628.jpg</t>
  </si>
  <si>
    <t>https://imapinvasives.natureserve.org/imap/services/page/Presence/1493595.html</t>
  </si>
  <si>
    <t>http://imap3images.s3-website-us-east-1.amazonaws.com/1511125/p/Photo_1.jpg</t>
  </si>
  <si>
    <t>https://www.inaturalist.org/taxa/59773-Lonicera-morrowii</t>
  </si>
  <si>
    <t>Lonicera morrowii</t>
  </si>
  <si>
    <t>Morrow's honeysuckle</t>
  </si>
  <si>
    <t>https://imapinvasives.natureserve.org/imap/services/page/Presence/1477850.html</t>
  </si>
  <si>
    <t>http://imap3images.s3-website-us-east-1.amazonaws.com/1494840/p/Photo_1.jpg</t>
  </si>
  <si>
    <t>https://imapinvasives.natureserve.org/imap/services/page/Presence/1477849.html</t>
  </si>
  <si>
    <t>http://imap3images.s3-website-us-east-1.amazonaws.com/1494838/p/Photo_1.jpg</t>
  </si>
  <si>
    <t>https://imapinvasives.natureserve.org/imap/services/page/Presence/1477847.html</t>
  </si>
  <si>
    <t>http://imap3images.s3-website-us-east-1.amazonaws.com/1494830/p/Photo_1.jpg</t>
  </si>
  <si>
    <t>https://www.inaturalist.org/taxa/67808-Solidago-canadensis</t>
  </si>
  <si>
    <t>Solidago canadensis</t>
  </si>
  <si>
    <t>Canada goldenrod</t>
  </si>
  <si>
    <t>https://imapinvasives.natureserve.org/imap/services/page/Presence/1477846.html</t>
  </si>
  <si>
    <t>http://imap3images.s3-website-us-east-1.amazonaws.com/1494824/p/Photo_1.jpg</t>
  </si>
  <si>
    <t>https://www.inaturalist.org/taxa/469472-Malus-domestica</t>
  </si>
  <si>
    <t>Malus domestica</t>
  </si>
  <si>
    <t>Apple</t>
  </si>
  <si>
    <t>https://imapinvasives.natureserve.org/imap/services/page/Presence/1477011.html</t>
  </si>
  <si>
    <t>http://imap3images.s3-website-us-east-1.amazonaws.com/1493903/p/Photo_1.jpg</t>
  </si>
  <si>
    <t>https://www.inaturalist.org/taxa/77836-Lonicera-tatarica</t>
  </si>
  <si>
    <t>Lonicera tatarica</t>
  </si>
  <si>
    <t>Tatarian honeysuckle</t>
  </si>
  <si>
    <t>http://imap3images.s3-website-us-east-1.amazonaws.com/1493898/p/Photo_1.jpg</t>
  </si>
  <si>
    <t>Morrow's Honeysuckle</t>
  </si>
  <si>
    <t>https://imapinvasives.natureserve.org/imap/services/page/Presence/1475149.html</t>
  </si>
  <si>
    <t>http://imap3images.s3-website-us-east-1.amazonaws.com/1491552/p/Photo_1.jpg</t>
  </si>
  <si>
    <t>Lonicera xylosteum</t>
  </si>
  <si>
    <t>Dwarf Honeysuckle</t>
  </si>
  <si>
    <t>https://www.inaturalist.org/taxa/124548-Lonicera-xylosteum</t>
  </si>
  <si>
    <t>Fly honeysuckle</t>
  </si>
  <si>
    <t>https://imapinvasives.natureserve.org/imap/services/page/Presence/1475147.html</t>
  </si>
  <si>
    <t>http://imap3images.s3-website-us-east-1.amazonaws.com/1491550/p/Photo_1.jpg</t>
  </si>
  <si>
    <t>https://imapinvasives.natureserve.org/imap/services/page/Presence/1469519.html</t>
  </si>
  <si>
    <t>http://imap3images.s3-website-us-east-1.amazonaws.com/1485079/p/Photo_1.jpg</t>
  </si>
  <si>
    <t>https://imapinvasives.natureserve.org/imap/services/page/Presence/1469508.html</t>
  </si>
  <si>
    <t>http://imap3images.s3-website-us-east-1.amazonaws.com/1485066/p/Photo_1.jpg</t>
  </si>
  <si>
    <t>https://imapinvasives.natureserve.org/imap/services/page/Presence/1456555.html</t>
  </si>
  <si>
    <t>http://imap3images.s3-website-us-east-1.amazonaws.com/1471458/p/imap_app_photo_1727343848868.jpg</t>
  </si>
  <si>
    <t>https://imapinvasives.natureserve.org/imap/services/page/Presence/1456103.html</t>
  </si>
  <si>
    <t>http://imap3images.s3-website-us-east-1.amazonaws.com/1471002/p/imap_app_photo_1727046977686.jpg</t>
  </si>
  <si>
    <t>https://imapinvasives.natureserve.org/imap/services/page/Presence/1444413.html</t>
  </si>
  <si>
    <t>http://imap3images.s3-website-us-east-1.amazonaws.com/1459165/p/imap_app_photo_1725912734695.jpg</t>
  </si>
  <si>
    <t>https://imapinvasives.natureserve.org/imap/services/page/Presence/1443924.html</t>
  </si>
  <si>
    <t>http://imap3images.s3-website-us-east-1.amazonaws.com/1458575/p/imap_app_photo_1725398074536.jpg</t>
  </si>
  <si>
    <t>https://imapinvasives.natureserve.org/imap/services/page/Presence/1443923.html</t>
  </si>
  <si>
    <t>http://imap3images.s3-website-us-east-1.amazonaws.com/1458574/p/imap_app_photo_1725398071557.jpg</t>
  </si>
  <si>
    <t>https://imapinvasives.natureserve.org/imap/services/page/Presence/1443922.html</t>
  </si>
  <si>
    <t>http://imap3images.s3-website-us-east-1.amazonaws.com/1458573/p/imap_app_photo_1725398069367.jpg</t>
  </si>
  <si>
    <t>https://imapinvasives.natureserve.org/imap/services/page/Presence/1443919.html</t>
  </si>
  <si>
    <t>http://imap3images.s3-website-us-east-1.amazonaws.com/1458570/p/imap_app_photo_1725398061188.jpg</t>
  </si>
  <si>
    <t>https://imapinvasives.natureserve.org/imap/services/page/Presence/1443917.html</t>
  </si>
  <si>
    <t>http://imap3images.s3-website-us-east-1.amazonaws.com/1458568/p/imap_app_photo_1725398055735.jpg</t>
  </si>
  <si>
    <t>https://imapinvasives.natureserve.org/imap/services/page/Presence/1443916.html</t>
  </si>
  <si>
    <t>http://imap3images.s3-website-us-east-1.amazonaws.com/1458567/p/imap_app_photo_1725398052512.jpg</t>
  </si>
  <si>
    <t>https://imapinvasives.natureserve.org/imap/services/page/Presence/1443911.html</t>
  </si>
  <si>
    <t>http://imap3images.s3-website-us-east-1.amazonaws.com/1458562/p/imap_app_photo_1725398036528.jpg</t>
  </si>
  <si>
    <t>https://imapinvasives.natureserve.org/imap/services/page/Presence/1443910.html</t>
  </si>
  <si>
    <t>http://imap3images.s3-website-us-east-1.amazonaws.com/1458561/p/imap_app_photo_1725398030935.jpg</t>
  </si>
  <si>
    <t>https://imapinvasives.natureserve.org/imap/services/page/Presence/1443908.html</t>
  </si>
  <si>
    <t>http://imap3images.s3-website-us-east-1.amazonaws.com/1458559/p/imap_app_photo_1725398025387.jpg</t>
  </si>
  <si>
    <t>https://imapinvasives.natureserve.org/imap/services/page/Presence/1443907.html</t>
  </si>
  <si>
    <t>http://imap3images.s3-website-us-east-1.amazonaws.com/1458558/p/imap_app_photo_1725398020278.jpg</t>
  </si>
  <si>
    <t>https://imapinvasives.natureserve.org/imap/services/page/Presence/1443906.html</t>
  </si>
  <si>
    <t>http://imap3images.s3-website-us-east-1.amazonaws.com/1458557/p/imap_app_photo_1725398017205.jpg</t>
  </si>
  <si>
    <t>https://imapinvasives.natureserve.org/imap/services/page/Presence/1443905.html</t>
  </si>
  <si>
    <t>http://imap3images.s3-website-us-east-1.amazonaws.com/1458556/p/imap_app_photo_1725398008259.jpg</t>
  </si>
  <si>
    <t>https://imapinvasives.natureserve.org/imap/services/page/Presence/1441235.html</t>
  </si>
  <si>
    <t>http://imap3images.s3-website-us-east-1.amazonaws.com/1455690/p/imap_app_photo_1723835817003.jpg</t>
  </si>
  <si>
    <t>https://imapinvasives.natureserve.org/imap/services/page/Presence/1412602.html</t>
  </si>
  <si>
    <t>http://imap3images.s3-website-us-east-1.amazonaws.com/1425355/p/imap_app_photo_1719256242692.jpg</t>
  </si>
  <si>
    <t>https://imapinvasives.natureserve.org/imap/services/page/Presence/1411914.html</t>
  </si>
  <si>
    <t>http://imap3images.s3-website-us-east-1.amazonaws.com/1424590/p/imap_app_photo_1718572006044.jpg</t>
  </si>
  <si>
    <t>https://imapinvasives.natureserve.org/imap/services/page/Presence/1410947.html</t>
  </si>
  <si>
    <t>http://imap3images.s3-website-us-east-1.amazonaws.com/1423487/p/imap_app_photo_1718054280927.jpg</t>
  </si>
  <si>
    <t>https://imapinvasives.natureserve.org/imap/services/page/Presence/1410804.html</t>
  </si>
  <si>
    <t>http://imap3images.s3-website-us-east-1.amazonaws.com/1423344/p/imap_app_photo_1717805413475.jpg</t>
  </si>
  <si>
    <t>https://imapinvasives.natureserve.org/imap/services/page/Presence/1410799.html</t>
  </si>
  <si>
    <t>http://imap3images.s3-website-us-east-1.amazonaws.com/1423339/p/imap_app_photo_1717805397476.jpg</t>
  </si>
  <si>
    <t>https://imapinvasives.natureserve.org/imap/services/page/Presence/1410798.html</t>
  </si>
  <si>
    <t>http://imap3images.s3-website-us-east-1.amazonaws.com/1423338/p/imap_app_photo_1717805394195.jpg</t>
  </si>
  <si>
    <t>https://imapinvasives.natureserve.org/imap/services/page/Presence/1410789.html</t>
  </si>
  <si>
    <t>http://imap3images.s3-website-us-east-1.amazonaws.com/1423329/p/imap_app_photo_1717805355262.jpg</t>
  </si>
  <si>
    <t>https://imapinvasives.natureserve.org/imap/services/page/Presence/1395141.html</t>
  </si>
  <si>
    <t>http://imap3images.s3-website-us-east-1.amazonaws.com/1413561/p/IMG_1368.JPG</t>
  </si>
  <si>
    <t>Tatarian Honeysuckle</t>
  </si>
  <si>
    <t>https://www.inaturalist.org/taxa/138762-Psoralea-fascicularis</t>
  </si>
  <si>
    <t>Psoralea fascicularis</t>
  </si>
  <si>
    <t>Largestipule fountainbush</t>
  </si>
  <si>
    <t>https://imapinvasives.natureserve.org/imap/services/page/Presence/1395140.html</t>
  </si>
  <si>
    <t>http://imap3images.s3-website-us-east-1.amazonaws.com/1413560/p/IMG_1367.JPG</t>
  </si>
  <si>
    <t>https://www.inaturalist.org/taxa/43794-Castor-canadensis</t>
  </si>
  <si>
    <t>Castor canadensis</t>
  </si>
  <si>
    <t>American beaver</t>
  </si>
  <si>
    <t>https://imapinvasives.natureserve.org/imap/services/page/Presence/1365095.html</t>
  </si>
  <si>
    <t>http://imap3images.s3-website-us-east-1.amazonaws.com/1383039/p/Photo_1.jpg</t>
  </si>
  <si>
    <t>Lonicera x bella</t>
  </si>
  <si>
    <t>Bell's Honeysuckle</t>
  </si>
  <si>
    <t>https://imapinvasives.natureserve.org/imap/services/page/Presence/1362844.html</t>
  </si>
  <si>
    <t>http://imap3images.s3-website-us-east-1.amazonaws.com/1380597/p/Photo_1.jpg</t>
  </si>
  <si>
    <t>https://imapinvasives.natureserve.org/imap/services/page/Presence/1361634.html</t>
  </si>
  <si>
    <t>http://imap3images.s3-website-us-east-1.amazonaws.com/1379277/p/2023-10-21_(3).jpg</t>
  </si>
  <si>
    <t>https://imapinvasives.natureserve.org/imap/services/page/Presence/1355782.html</t>
  </si>
  <si>
    <t>http://imap3images.s3-website-us-east-1.amazonaws.com/1373415/p/2023-10-04_(21)_imap_Buttermilk.JPG</t>
  </si>
  <si>
    <t>https://imapinvasives.natureserve.org/imap/services/page/Presence/1355769.html</t>
  </si>
  <si>
    <t>http://imap3images.s3-website-us-east-1.amazonaws.com/1373402/p/2023-09-29_(8).JPG</t>
  </si>
  <si>
    <t>https://imapinvasives.natureserve.org/imap/services/page/Presence/1354075.html</t>
  </si>
  <si>
    <t>http://imap3images.s3-website-us-east-1.amazonaws.com/1371502/p/2023-09-13_(310).JPG</t>
  </si>
  <si>
    <t>https://imapinvasives.natureserve.org/imap/services/page/Presence/1352651.html</t>
  </si>
  <si>
    <t>http://imap3images.s3-website-us-east-1.amazonaws.com/1370030/p/2023-09-08_(17).JPG</t>
  </si>
  <si>
    <t>https://imapinvasives.natureserve.org/imap/services/page/Presence/1349363.html</t>
  </si>
  <si>
    <t>http://imap3images.s3-website-us-east-1.amazonaws.com/1366284/p/Photo_2.jpg</t>
  </si>
  <si>
    <t>https://imapinvasives.natureserve.org/imap/services/page/Presence/1337568.html</t>
  </si>
  <si>
    <t>http://imap3images.s3-website-us-east-1.amazonaws.com/1352106/p/Photo3-20230628-231053.jpg</t>
  </si>
  <si>
    <t>https://imapinvasives.natureserve.org/imap/services/page/Presence/1334732.html</t>
  </si>
  <si>
    <t>http://imap3images.s3-website-us-east-1.amazonaws.com/1348911/p/Photo2-20230605-195531.jpg</t>
  </si>
  <si>
    <t>https://www.inaturalist.org/taxa/279321-Struthanthus-interruptus</t>
  </si>
  <si>
    <t>Struthanthus interruptus</t>
  </si>
  <si>
    <t>Unknown</t>
  </si>
  <si>
    <t>https://imapinvasives.natureserve.org/imap/services/page/Presence/1330885.html</t>
  </si>
  <si>
    <t>http://imap3images.s3-website-us-east-1.amazonaws.com/1344365/p/imap_app_photo_1684450307277.jpg</t>
  </si>
  <si>
    <t>https://imapinvasives.natureserve.org/imap/services/page/Presence/1324052.html</t>
  </si>
  <si>
    <t>http://imap3images.s3-website-us-east-1.amazonaws.com/1336743/p/Photo_1.jpg</t>
  </si>
  <si>
    <t>82342</t>
  </si>
  <si>
    <t>77836</t>
  </si>
  <si>
    <t>59773</t>
  </si>
  <si>
    <t>https://imapinvasives.natureserve.org/imap/services/page/Presence/1316661.html</t>
  </si>
  <si>
    <t>http://imap3images.s3-website-us-east-1.amazonaws.com/1327712/p/2022-05-26_(440).JPG</t>
  </si>
  <si>
    <t>124548</t>
  </si>
  <si>
    <t>https://imapinvasives.natureserve.org/imap/services/page/Presence/1305206.html</t>
  </si>
  <si>
    <t>http://imap3images.s3-website-us-east-1.amazonaws.com/1315632/p/2022-11-01_(17).JPG</t>
  </si>
  <si>
    <t>https://www.inaturalist.org/taxa/379839-Insolibasidium-deformans</t>
  </si>
  <si>
    <t>Insolibasidium deformans</t>
  </si>
  <si>
    <t>Honeysuckle leaf blight</t>
  </si>
  <si>
    <t>379839</t>
  </si>
  <si>
    <t>https://imapinvasives.natureserve.org/imap/services/page/Presence/1297353.html</t>
  </si>
  <si>
    <t>http://imap3images.s3-website-us-east-1.amazonaws.com/1307589/p/imap_app_photo_1664127633981.jpg</t>
  </si>
  <si>
    <t>https://imapinvasives.natureserve.org/imap/services/page/Presence/1286024.html</t>
  </si>
  <si>
    <t>http://imap3images.s3-website-us-east-1.amazonaws.com/1295747/p/imap_app_photo_1660178549761.jpg</t>
  </si>
  <si>
    <t>170851</t>
  </si>
  <si>
    <t>https://www.inaturalist.org/taxa/53374-Corylus-cornuta</t>
  </si>
  <si>
    <t>Corylus cornuta</t>
  </si>
  <si>
    <t>Beaked hazelnut</t>
  </si>
  <si>
    <t>53374</t>
  </si>
  <si>
    <t>https://imapinvasives.natureserve.org/imap/services/page/Presence/1285980.html</t>
  </si>
  <si>
    <t>http://imap3images.s3-website-us-east-1.amazonaws.com/1295703/p/imap_app_photo_1660175538691.jpg</t>
  </si>
  <si>
    <t>https://imapinvasives.natureserve.org/imap/services/page/Presence/1282056.html</t>
  </si>
  <si>
    <t>http://imap3images.s3-website-us-east-1.amazonaws.com/1291499/p/imap_app_photo_1657574633163.jpg</t>
  </si>
  <si>
    <t>https://imapinvasives.natureserve.org/imap/services/page/Presence/1281796.html</t>
  </si>
  <si>
    <t>http://imap3images.s3-website-us-east-1.amazonaws.com/1291221/p/imap_app_photo_1657310897432.jpg</t>
  </si>
  <si>
    <t>https://www.inaturalist.org/taxa/54835-Prunus-virginiana</t>
  </si>
  <si>
    <t>Prunus virginiana</t>
  </si>
  <si>
    <t>Chokecherry</t>
  </si>
  <si>
    <t>54835</t>
  </si>
  <si>
    <t>https://imapinvasives.natureserve.org/imap/services/page/Presence/1281794.html</t>
  </si>
  <si>
    <t>http://imap3images.s3-website-us-east-1.amazonaws.com/1291219/p/imap_app_photo_1657310834094.jpg</t>
  </si>
  <si>
    <t>https://imapinvasives.natureserve.org/imap/services/page/Presence/1281512.html</t>
  </si>
  <si>
    <t>http://imap3images.s3-website-us-east-1.amazonaws.com/1290926/p/imap_app_photo_1657148395052.jpg</t>
  </si>
  <si>
    <t>https://imapinvasives.natureserve.org/imap/services/page/Presence/1274134.html</t>
  </si>
  <si>
    <t>http://imap3images.s3-website-us-east-1.amazonaws.com/1283340/p/2022-05-24_(6).JPG</t>
  </si>
  <si>
    <t>https://imapinvasives.natureserve.org/imap/services/page/Presence/1274133.html</t>
  </si>
  <si>
    <t>http://imap3images.s3-website-us-east-1.amazonaws.com/1283339/p/2022-05-24_(1).JPG</t>
  </si>
  <si>
    <t>https://www.inaturalist.org/taxa/58316-Salix-babylonica</t>
  </si>
  <si>
    <t>Salix babylonica</t>
  </si>
  <si>
    <t>Weeping willow</t>
  </si>
  <si>
    <t>58316</t>
  </si>
  <si>
    <t>https://imapinvasives.natureserve.org/imap/services/page/Presence/1271830.html</t>
  </si>
  <si>
    <t>http://imap3images.s3-website-us-east-1.amazonaws.com/1280824/p/Photo1-20220510-142231.jpg</t>
  </si>
  <si>
    <t>https://imapinvasives.natureserve.org/imap/services/page/Presence/1248198.html</t>
  </si>
  <si>
    <t>http://imap3images.s3-website-us-east-1.amazonaws.com/1256308/p/imap_app_photo_1640960190053.jpg</t>
  </si>
  <si>
    <t>https://imapinvasives.natureserve.org/imap/services/page/Presence/1178820.html</t>
  </si>
  <si>
    <t>http://imap3images.s3-website-us-east-1.amazonaws.com/1186397/p/396B496F-A1B5-4C6E-AF3D-D4F03E6428E7.jpeg</t>
  </si>
  <si>
    <t>https://imapinvasives.natureserve.org/imap/services/page/Presence/1165744.html</t>
  </si>
  <si>
    <t>http://imap3images.s3-website-us-east-1.amazonaws.com/1173013/p/AD3FD45E-9AA5-484E-A18B-8D9571BC6E89.jpeg</t>
  </si>
  <si>
    <t>https://imapinvasives.natureserve.org/imap/services/page/Presence/1159921.html</t>
  </si>
  <si>
    <t>http://imap3images.s3-website-us-east-1.amazonaws.com/1167030/p/imap_app_photo_1629922122848.jpg</t>
  </si>
  <si>
    <t>https://imapinvasives.natureserve.org/imap/services/page/Presence/1147082.html</t>
  </si>
  <si>
    <t>http://imap3images.s3-website-us-east-1.amazonaws.com/1153777/p/474F6A7D-A252-40A0-B0FB-C351A6E3D400.jpeg</t>
  </si>
  <si>
    <t>https://imapinvasives.natureserve.org/imap/services/page/Presence/1145119.html</t>
  </si>
  <si>
    <t>http://imap3images.s3-website-us-east-1.amazonaws.com/1151642/p/imap_app_photo_1623172479165.jpg</t>
  </si>
  <si>
    <t>https://imapinvasives.natureserve.org/imap/services/page/Presence/1145115.html</t>
  </si>
  <si>
    <t>http://imap3images.s3-website-us-east-1.amazonaws.com/1151638/p/imap_app_photo_1623172444062.jpg</t>
  </si>
  <si>
    <t>https://imapinvasives.natureserve.org/imap/services/page/Presence/1140103.html</t>
  </si>
  <si>
    <t>http://imap3images.s3-website-us-east-1.amazonaws.com/1146617/p/imap_app_photo_1622737449797.jpg</t>
  </si>
  <si>
    <t>https://imapinvasives.natureserve.org/imap/services/page/Presence/1139852.html</t>
  </si>
  <si>
    <t>http://imap3images.s3-website-us-east-1.amazonaws.com/1146364/p/imap_app_photo_1622651525860.jpg</t>
  </si>
  <si>
    <t>https://imapinvasives.natureserve.org/imap/services/page/Presence/1139681.html</t>
  </si>
  <si>
    <t>http://imap3images.s3-website-us-east-1.amazonaws.com/1146193/p/imap_app_photo_1622574471776.jpg</t>
  </si>
  <si>
    <t>https://imapinvasives.natureserve.org/imap/services/page/Presence/1139675.html</t>
  </si>
  <si>
    <t>http://imap3images.s3-website-us-east-1.amazonaws.com/1146187/p/imap_app_photo_1622574241340.jpg</t>
  </si>
  <si>
    <t>https://imapinvasives.natureserve.org/imap/services/page/Presence/1139672.html</t>
  </si>
  <si>
    <t>http://imap3images.s3-website-us-east-1.amazonaws.com/1146184/p/imap_app_photo_1622574218883.jpg</t>
  </si>
  <si>
    <t>https://imapinvasives.natureserve.org/imap/services/page/Presence/1139663.html</t>
  </si>
  <si>
    <t>http://imap3images.s3-website-us-east-1.amazonaws.com/1146175/p/imap_app_photo_1622574146276.jpg</t>
  </si>
  <si>
    <t>https://imapinvasives.natureserve.org/imap/services/page/Presence/1139576.html</t>
  </si>
  <si>
    <t>http://imap3images.s3-website-us-east-1.amazonaws.com/1146077/p/imap_app_photo_1622477537586.jpg</t>
  </si>
  <si>
    <t>https://imapinvasives.natureserve.org/imap/services/page/Presence/1071607.html</t>
  </si>
  <si>
    <t>http://imap3images.s3-website-us-east-1.amazonaws.com/1076650/p/imap_app_photo_1603573589826.jpg</t>
  </si>
  <si>
    <t>https://imapinvasives.natureserve.org/imap/services/page/Presence/1070134.html</t>
  </si>
  <si>
    <t>http://imap3images.s3-website-us-east-1.amazonaws.com/1075019/p/20200925_143103.jpg</t>
  </si>
  <si>
    <t>https://imapinvasives.natureserve.org/imap/services/page/Presence/1068555.html</t>
  </si>
  <si>
    <t>http://imap3images.s3-website-us-east-1.amazonaws.com/1073382/p/imap_app_photo_1599585761699.jpg</t>
  </si>
  <si>
    <t>https://imapinvasives.natureserve.org/imap/services/page/Presence/1068499.html</t>
  </si>
  <si>
    <t>http://imap3images.s3-website-us-east-1.amazonaws.com/1073326/p/imap_app_photo_1599579649383.jpg</t>
  </si>
  <si>
    <t>https://imapinvasives.natureserve.org/imap/services/page/Presence/1068396.html</t>
  </si>
  <si>
    <t>http://imap3images.s3-website-us-east-1.amazonaws.com/1073223/p/imap_app_photo_1599522479674.jpg</t>
  </si>
  <si>
    <t>https://imapinvasives.natureserve.org/imap/services/page/Presence/1064277.html</t>
  </si>
  <si>
    <t>http://imap3images.s3-website-us-east-1.amazonaws.com/1069016/p/imap_app_photo_1598474777138.jpg</t>
  </si>
  <si>
    <t>https://imapinvasives.natureserve.org/imap/services/page/Presence/1052869.html</t>
  </si>
  <si>
    <t>http://imap3images.s3-website-us-east-1.amazonaws.com/1057163/p/imap_app_photo_1593463296865.jpg</t>
  </si>
  <si>
    <t>https://imapinvasives.natureserve.org/imap/services/page/Presence/1052179.html</t>
  </si>
  <si>
    <t>http://imap3images.s3-website-us-east-1.amazonaws.com/1056385/p/imap_app_photo_1593197852160.jpg</t>
  </si>
  <si>
    <t>https://imapinvasives.natureserve.org/imap/services/page/Presence/1048428.html</t>
  </si>
  <si>
    <t>http://imap3images.s3-website-us-east-1.amazonaws.com/1052446/p/imap_app_photo_1591443660002.jpg</t>
  </si>
  <si>
    <t>https://imapinvasives.natureserve.org/imap/services/page/Presence/1046793.html</t>
  </si>
  <si>
    <t>http://imap3images.s3-website-us-east-1.amazonaws.com/1050730/p/imap_app_photo_1590177932722.jpg</t>
  </si>
  <si>
    <t>https://imapinvasives.natureserve.org/imap/services/page/Presence/1025096.html</t>
  </si>
  <si>
    <t>http://imap3images.s3-website-us-east-1.amazonaws.com/1025852/p/Photo2-20180921-153442.jpg</t>
  </si>
  <si>
    <t>https://www.inaturalist.org/taxa/204237-Ampelopsis-glandulosa</t>
  </si>
  <si>
    <t>Ampelopsis glandulosa</t>
  </si>
  <si>
    <t>Porcelain berry</t>
  </si>
  <si>
    <t>204237</t>
  </si>
  <si>
    <t>https://imapinvasives.natureserve.org/imap/services/page/Presence/1025086.html</t>
  </si>
  <si>
    <t>http://imap3images.s3-website-us-east-1.amazonaws.com/1025842/p/Photo1-20180921-182418.jpg</t>
  </si>
  <si>
    <t>https://www.inaturalist.org/taxa/914922-Reynoutria-japonica</t>
  </si>
  <si>
    <t>Reynoutria japonica</t>
  </si>
  <si>
    <t>Japanese knotweed</t>
  </si>
  <si>
    <t>914922</t>
  </si>
  <si>
    <t>https://imapinvasives.natureserve.org/imap/services/page/Presence/1023814.html</t>
  </si>
  <si>
    <t>http://imap3images.s3-website-us-east-1.amazonaws.com/1024476/p/Honeysuckle_Closeup.JPG</t>
  </si>
  <si>
    <t>https://imapinvasives.natureserve.org/imap/services/page/Presence/1023247.html</t>
  </si>
  <si>
    <t>http://imap3images.s3-website-us-east-1.amazonaws.com/1023818/p/Photo1-20180709-154855.jpg</t>
  </si>
  <si>
    <t>https://imapinvasives.natureserve.org/imap/services/page/Presence/1023074.html</t>
  </si>
  <si>
    <t>http://imap3images.s3-website-us-east-1.amazonaws.com/1023645/p/Photo2-20180615-155943.jpg</t>
  </si>
  <si>
    <t>https://imapinvasives.natureserve.org/imap/services/page/Presence/1023073.html</t>
  </si>
  <si>
    <t>http://imap3images.s3-website-us-east-1.amazonaws.com/1023644/p/Photo2-20180615-160825.jpg</t>
  </si>
  <si>
    <t>https://imapinvasives.natureserve.org/imap/services/page/Presence/1017380.html</t>
  </si>
  <si>
    <t>http://imap3images.s3-website-us-east-1.amazonaws.com/1017873/p/imap_app_photo_1560854781107.jpg</t>
  </si>
  <si>
    <t>https://www.inaturalist.org/taxa/126145-Lonicera-hirsuta</t>
  </si>
  <si>
    <t>Lonicera hirsuta</t>
  </si>
  <si>
    <t>Hairy honeysuckle</t>
  </si>
  <si>
    <t>126145</t>
  </si>
  <si>
    <t>https://imapinvasives.natureserve.org/imap/services/page/Presence/1017379.html</t>
  </si>
  <si>
    <t>http://imap3images.s3-website-us-east-1.amazonaws.com/1017872/p/imap_app_photo_1560854774179.jpg</t>
  </si>
  <si>
    <t>https://imapinvasives.natureserve.org/imap/services/page/Presence/1016314.html</t>
  </si>
  <si>
    <t>http://imap3images.s3-website-us-east-1.amazonaws.com/1016755/p/DSCN7746.JPG</t>
  </si>
  <si>
    <t>https://imapinvasives.natureserve.org/imap/services/page/Presence/1016311.html</t>
  </si>
  <si>
    <t>http://imap3images.s3-website-us-east-1.amazonaws.com/1016752/p/DSCN7743.JPG</t>
  </si>
  <si>
    <t>https://www.inaturalist.org/taxa/78882-Rosa-multiflora</t>
  </si>
  <si>
    <t>Rosa multiflora</t>
  </si>
  <si>
    <t>Multiflora rose</t>
  </si>
  <si>
    <t>78882</t>
  </si>
  <si>
    <t>https://imapinvasives.natureserve.org/imap/services/page/Presence/1016299.html</t>
  </si>
  <si>
    <t>http://imap3images.s3-website-us-east-1.amazonaws.com/1016740/p/DSCN7729.JPG</t>
  </si>
  <si>
    <t>https://imapinvasives.natureserve.org/imap/services/page/Presence/1016259.html</t>
  </si>
  <si>
    <t>http://imap3images.s3-website-us-east-1.amazonaws.com/1016700/p/imap_app_photo_1560028949577.jpg</t>
  </si>
  <si>
    <t>https://imapinvasives.natureserve.org/imap/services/page/Presence/1015203.html</t>
  </si>
  <si>
    <t>http://imap3images.s3-website-us-east-1.amazonaws.com/1015546/p/DSCN8514.JPG</t>
  </si>
  <si>
    <t>https://imapinvasives.natureserve.org/imap/services/page/Presence/1015141.html</t>
  </si>
  <si>
    <t>http://imap3images.s3-website-us-east-1.amazonaws.com/1015479/p/DSCN8476.JPG</t>
  </si>
  <si>
    <t>https://imapinvasives.natureserve.org/imap/services/page/Presence/1015139.html</t>
  </si>
  <si>
    <t>http://imap3images.s3-website-us-east-1.amazonaws.com/1015477/p/DSCN8475.JPG</t>
  </si>
  <si>
    <t>https://imapinvasives.natureserve.org/imap/services/page/Presence/1015091.html</t>
  </si>
  <si>
    <t>http://imap3images.s3-website-us-east-1.amazonaws.com/1015423/p/DSCN7561.JPG</t>
  </si>
  <si>
    <t>https://imapinvasives.natureserve.org/imap/services/page/Presence/1015077.html</t>
  </si>
  <si>
    <t>http://imap3images.s3-website-us-east-1.amazonaws.com/1015409/p/DSCN8605.JPG</t>
  </si>
  <si>
    <t>https://imapinvasives.natureserve.org/imap/services/page/Presence/1015069.html</t>
  </si>
  <si>
    <t>http://imap3images.s3-website-us-east-1.amazonaws.com/1015401/p/DSCN7451.JPG</t>
  </si>
  <si>
    <t>https://imapinvasives.natureserve.org/imap/services/page/Presence/1015045.html</t>
  </si>
  <si>
    <t>http://imap3images.s3-website-us-east-1.amazonaws.com/1015377/p/DSCN8583.JPG</t>
  </si>
  <si>
    <t>https://imapinvasives.natureserve.org/imap/services/page/Presence/1014098.html</t>
  </si>
  <si>
    <t>http://imap3images.s3-website-us-east-1.amazonaws.com/1014362/p/imap_app_photo_1558537253356.jpg</t>
  </si>
  <si>
    <t>https://imapinvasives.natureserve.org/imap/services/page/Presence/1014026.html</t>
  </si>
  <si>
    <t>http://imap3images.s3-website-us-east-1.amazonaws.com/1014290/p/imap_app_photo_1558474128453.jpg</t>
  </si>
  <si>
    <t>https://imapinvasives.natureserve.org/imap/services/page/Presence/1014021.html</t>
  </si>
  <si>
    <t>http://imap3images.s3-website-us-east-1.amazonaws.com/1014285/p/imap_app_photo_1558474064534.jpg</t>
  </si>
  <si>
    <t>https://imapinvasives.natureserve.org/imap/services/page/Presence/1014018.html</t>
  </si>
  <si>
    <t>http://imap3images.s3-website-us-east-1.amazonaws.com/1014282/p/imap_app_photo_1558474028882.jpg</t>
  </si>
  <si>
    <t>https://imapinvasives.natureserve.org/imap/services/page/Presence/1013920.html</t>
  </si>
  <si>
    <t>http://imap3images.s3-website-us-east-1.amazonaws.com/1014184/p/imap_app_photo_1558469691282.jpg</t>
  </si>
  <si>
    <t>https://imapinvasives.natureserve.org/imap/services/page/Presence/531224.html</t>
  </si>
  <si>
    <t>http://imap3images.s3-website-us-east-1.amazonaws.com/531224/p/photourl1_2018_09_19_brirogers_547kfzh1.jpg</t>
  </si>
  <si>
    <t>https://www.inaturalist.org/taxa/54811-Rhamnus-cathartica</t>
  </si>
  <si>
    <t>Rhamnus cathartica</t>
  </si>
  <si>
    <t>Common buckthorn</t>
  </si>
  <si>
    <t>54811</t>
  </si>
  <si>
    <t>https://imapinvasives.natureserve.org/imap/services/page/Presence/528168.html</t>
  </si>
  <si>
    <t>http://imap3images.s3-website-us-east-1.amazonaws.com/528168/p/photourl1_2018_07_09_lexlill_gu07hl74.jpg</t>
  </si>
  <si>
    <t>https://imapinvasives.natureserve.org/imap/services/page/Presence/528166.html</t>
  </si>
  <si>
    <t>http://imap3images.s3-website-us-east-1.amazonaws.com/528166/p/photourl1_2018_07_09_lexlill_aygdlgek.jpg</t>
  </si>
  <si>
    <t>https://imapinvasives.natureserve.org/imap/services/page/Presence/527537.html</t>
  </si>
  <si>
    <t>http://imap3images.s3-website-us-east-1.amazonaws.com/527537/p/photourl2_2018_06_27_julkostin_bq3ty79o.jpg</t>
  </si>
  <si>
    <t>https://imapinvasives.natureserve.org/imap/services/page/Presence/527150.html</t>
  </si>
  <si>
    <t>http://imap3images.s3-website-us-east-1.amazonaws.com/527150/p/photourl2_2018_06_20_rebmann_oorgekzj.jpg</t>
  </si>
  <si>
    <t>https://www.inaturalist.org/taxa/54792-Juglans-cinerea</t>
  </si>
  <si>
    <t>Juglans cinerea</t>
  </si>
  <si>
    <t>Butternut</t>
  </si>
  <si>
    <t>54792</t>
  </si>
  <si>
    <t>https://imapinvasives.natureserve.org/imap/services/page/Presence/526786.html</t>
  </si>
  <si>
    <t>http://imap3images.s3-website-us-east-1.amazonaws.com/526786/p/photourl1_2018_06_14_spebarrett_51x275ha.jpg</t>
  </si>
  <si>
    <t>https://www.inaturalist.org/taxa/337821-Deutzia-crenata</t>
  </si>
  <si>
    <t>Deutzia crenata</t>
  </si>
  <si>
    <t>337821</t>
  </si>
  <si>
    <t>https://imapinvasives.natureserve.org/imap/services/page/Presence/526683.html</t>
  </si>
  <si>
    <t>http://imap3images.s3-website-us-east-1.amazonaws.com/526683/p/photourl1_2018_06_14_lexlill_tn5kicyf.jpg</t>
  </si>
  <si>
    <t>https://www.inaturalist.org/taxa/117433-Euonymus-alatus</t>
  </si>
  <si>
    <t>Euonymus alatus</t>
  </si>
  <si>
    <t>Winged euonymus</t>
  </si>
  <si>
    <t>117433</t>
  </si>
  <si>
    <t>https://imapinvasives.natureserve.org/imap/services/page/Presence/526577.html</t>
  </si>
  <si>
    <t>http://imap3images.s3-website-us-east-1.amazonaws.com/526577/p/photourl1_2018_06_13_annkuhne_o2xjxmxo.jpg</t>
  </si>
  <si>
    <t>https://www.inaturalist.org/taxa/58749-Cornus-amomum</t>
  </si>
  <si>
    <t>Cornus amomum</t>
  </si>
  <si>
    <t>Silky dogwood</t>
  </si>
  <si>
    <t>58749</t>
  </si>
  <si>
    <t>https://imapinvasives.natureserve.org/imap/services/page/Presence/526457.html</t>
  </si>
  <si>
    <t>http://imap3images.s3-website-us-east-1.amazonaws.com/526457/p/photourl1_2018_06_12_lexlill_cg9ygiiq.jpg</t>
  </si>
  <si>
    <t>https://imapinvasives.natureserve.org/imap/services/page/Presence/526456.html</t>
  </si>
  <si>
    <t>http://imap3images.s3-website-us-east-1.amazonaws.com/526456/p/photourl1_2018_06_12_lexlill_03tsbdtk.jpg</t>
  </si>
  <si>
    <t>https://imapinvasives.natureserve.org/imap/services/page/Presence/526455.html</t>
  </si>
  <si>
    <t>http://imap3images.s3-website-us-east-1.amazonaws.com/526455/p/photourl1_2018_06_12_lexlill_c5xzlvkj.jpg</t>
  </si>
  <si>
    <t>https://imapinvasives.natureserve.org/imap/services/page/Presence/523477.html</t>
  </si>
  <si>
    <t>http://imap3images.s3-website-us-east-1.amazonaws.com/523477/p/photourl1_2017_11_03_spebarrett_3t8lb979.jpg</t>
  </si>
  <si>
    <t>https://imapinvasives.natureserve.org/imap/services/page/Presence/523476.html</t>
  </si>
  <si>
    <t>http://imap3images.s3-website-us-east-1.amazonaws.com/523476/p/photourl1_2017_11_03_spebarrett_yt91klum.jpg</t>
  </si>
  <si>
    <t>https://imapinvasives.natureserve.org/imap/services/page/Presence/516060.html</t>
  </si>
  <si>
    <t>http://imap3images.s3-website-us-east-1.amazonaws.com/516060/p/photourl1_2017_10_20_spebarrett_xux5lp84.jpg</t>
  </si>
  <si>
    <t>https://imapinvasives.natureserve.org/imap/services/page/Presence/516059.html</t>
  </si>
  <si>
    <t>http://imap3images.s3-website-us-east-1.amazonaws.com/516059/p/photourl1_2017_10_20_spebarrett_xecuvmmn.jpg</t>
  </si>
  <si>
    <t>https://imapinvasives.natureserve.org/imap/services/page/Presence/516055.html</t>
  </si>
  <si>
    <t>http://imap3images.s3-website-us-east-1.amazonaws.com/516055/p/photourl1_2017_10_19_spebarrett_j3olzpzh.jpg</t>
  </si>
  <si>
    <t>https://imapinvasives.natureserve.org/imap/services/page/Presence/516021.html</t>
  </si>
  <si>
    <t>http://imap3images.s3-website-us-east-1.amazonaws.com/516021/p/photourl1_2017_10_16_steyoung_zh44d4v9.jpg</t>
  </si>
  <si>
    <t>https://imapinvasives.natureserve.org/imap/services/page/Presence/511578.html</t>
  </si>
  <si>
    <t>http://imap3images.s3-website-us-east-1.amazonaws.com/511578/p/photourl1_2017_05_17_steyoung_ovh0t6yg.jpg</t>
  </si>
  <si>
    <t>https://imapinvasives.natureserve.org/imap/services/page/Presence/511577.html</t>
  </si>
  <si>
    <t>http://imap3images.s3-website-us-east-1.amazonaws.com/511577/p/photourl1_2017_05_17_steyoung_23rrek0b.jpg</t>
  </si>
  <si>
    <t>https://imapinvasives.natureserve.org/imap/services/page/Presence/511571.html</t>
  </si>
  <si>
    <t>http://imap3images.s3-website-us-east-1.amazonaws.com/511571/p/photourl1_2017_06_02_steyoung_j0p2y0yc.jpg</t>
  </si>
  <si>
    <t>https://imapinvasives.natureserve.org/imap/services/page/Presence/511449.html</t>
  </si>
  <si>
    <t>http://imap3images.s3-website-us-east-1.amazonaws.com/511449/p/photourl1_2017_06_02_tomphillips_d3ecwwy7.jpg</t>
  </si>
  <si>
    <t>https://imapinvasives.natureserve.org/imap/services/page/Presence/511334.html</t>
  </si>
  <si>
    <t>http://imap3images.s3-website-us-east-1.amazonaws.com/511334/p/photourl2_2017_05_30_kylwebster_obxmdzry.jpg</t>
  </si>
  <si>
    <t>https://imapinvasives.natureserve.org/imap/services/page/Presence/510868.html</t>
  </si>
  <si>
    <t>http://imap3images.s3-website-us-east-1.amazonaws.com/510868/p/photourl1_2017_05_16_steyoung_c489qg6b.jpg</t>
  </si>
  <si>
    <t>https://imapinvasives.natureserve.org/imap/services/page/Presence/497711.html</t>
  </si>
  <si>
    <t>http://imap3images.s3-website-us-east-1.amazonaws.com/497711/p/photourl1_2016_11_11_jendean_hcokot87.jpg</t>
  </si>
  <si>
    <t>https://imapinvasives.natureserve.org/imap/services/page/Presence/496525.html</t>
  </si>
  <si>
    <t>http://imap3images.s3-website-us-east-1.amazonaws.com/496525/p/photourl1_2016_10_20_steyoung_lkr88i8h.jpg</t>
  </si>
  <si>
    <t>https://imapinvasives.natureserve.org/imap/services/page/Presence/495899.html</t>
  </si>
  <si>
    <t>http://imap3images.s3-website-us-east-1.amazonaws.com/495899/p/photourl4_2016_10_13_selrosenthal_iaebhxcr.jpg</t>
  </si>
  <si>
    <t>https://imapinvasives.natureserve.org/imap/services/page/Presence/495786.html</t>
  </si>
  <si>
    <t>http://imap3images.s3-website-us-east-1.amazonaws.com/495786/p/photourl1_2016_10_03_jendean_8ch0g6bn.jpg</t>
  </si>
  <si>
    <t>https://imapinvasives.natureserve.org/imap/services/page/Presence/495550.html</t>
  </si>
  <si>
    <t>http://imap3images.s3-website-us-east-1.amazonaws.com/495550/p/photourl1_2016_09_20_steyoung_ohualw19.jpg</t>
  </si>
  <si>
    <t>https://imapinvasives.natureserve.org/imap/services/page/Presence/495546.html</t>
  </si>
  <si>
    <t>http://imap3images.s3-website-us-east-1.amazonaws.com/495546/p/photourl1_2016_09_20_steyoung_osrdcndy.jpg</t>
  </si>
  <si>
    <t>https://imapinvasives.natureserve.org/imap/services/page/Presence/494760.html</t>
  </si>
  <si>
    <t>http://imap3images.s3-website-us-east-1.amazonaws.com/494760/p/photourl1_2016_08_29_tylchristensen_e82rls6x.jpg</t>
  </si>
  <si>
    <t>https://imapinvasives.natureserve.org/imap/services/page/Presence/491603.html</t>
  </si>
  <si>
    <t>http://imap3images.s3-website-us-east-1.amazonaws.com/491603/p/photourl1_2016_06_10_iansansone_wh8ity92.jpg</t>
  </si>
  <si>
    <t>https://imapinvasives.natureserve.org/imap/services/page/Presence/491502.html</t>
  </si>
  <si>
    <t>http://imap3images.s3-website-us-east-1.amazonaws.com/491502/p/photourl1_2016_06_08_emidyett_3c5uzr1e.jpg</t>
  </si>
  <si>
    <t>Verification</t>
  </si>
  <si>
    <t>Photo_quality</t>
  </si>
  <si>
    <t>Notes</t>
  </si>
  <si>
    <t>Both iMap and iNat correct</t>
  </si>
  <si>
    <t>Good photo</t>
  </si>
  <si>
    <t>iMap is only correct</t>
  </si>
  <si>
    <t>Bad-Focused Different Species</t>
  </si>
  <si>
    <t>Undeterminable</t>
  </si>
  <si>
    <t>Bad-limited contrast</t>
  </si>
  <si>
    <t>Bad-Photo taken from long distance</t>
  </si>
  <si>
    <t>Bad-Multiple focused species</t>
  </si>
  <si>
    <t>Bad-Blur Photo</t>
  </si>
  <si>
    <t>iNat is only correct</t>
  </si>
  <si>
    <t>There is no honeysuckle species in this photo</t>
  </si>
  <si>
    <t>Mislabelled the species name in iMap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</si>
</sst>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3"/>
  <sheetViews>
    <sheetView tabSelected="1" workbookViewId="0">
      <pane ySplit="1" topLeftCell="A2" activePane="bottomLeft" state="frozen"/>
      <selection pane="bottomLeft" activeCell="V143" sqref="V143"/>
    </sheetView>
  </sheetViews>
  <sheetFormatPr defaultRowHeight="14.4" x14ac:dyDescent="0.3"/>
  <cols>
    <col min="8" max="8" width="17.88671875" bestFit="1" customWidth="1"/>
    <col min="9" max="9" width="20.77734375" bestFit="1" customWidth="1"/>
    <col min="13" max="13" width="23.77734375" bestFit="1" customWidth="1"/>
    <col min="14" max="14" width="23.88671875" bestFit="1" customWidth="1"/>
    <col min="16" max="16" width="13.88671875" customWidth="1"/>
    <col min="17" max="17" width="13.33203125" customWidth="1"/>
    <col min="21" max="21" width="24.109375" bestFit="1" customWidth="1"/>
    <col min="22" max="22" width="13.2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392</v>
      </c>
      <c r="V1" s="2" t="s">
        <v>393</v>
      </c>
      <c r="W1" s="2" t="s">
        <v>394</v>
      </c>
    </row>
    <row r="2" spans="1:23" x14ac:dyDescent="0.3">
      <c r="A2">
        <v>1</v>
      </c>
      <c r="B2" t="str">
        <f>HYPERLINK("https://imapinvasives.natureserve.org/imap/services/page/Presence/1497721.html", "View")</f>
        <v>View</v>
      </c>
      <c r="C2" t="s">
        <v>20</v>
      </c>
      <c r="D2">
        <v>1497721</v>
      </c>
      <c r="E2">
        <v>1515599</v>
      </c>
      <c r="F2" t="str">
        <f>HYPERLINK("http://imap3images.s3-website-us-east-1.amazonaws.com/1515599/p/imap_app_photo_1747832751318.jpg", "View")</f>
        <v>View</v>
      </c>
      <c r="G2" t="s">
        <v>21</v>
      </c>
      <c r="H2" t="s">
        <v>22</v>
      </c>
      <c r="I2" t="s">
        <v>23</v>
      </c>
      <c r="J2">
        <v>82342</v>
      </c>
      <c r="K2" t="str">
        <f>HYPERLINK("https://www.inaturalist.org/taxa/82342-Lonicera-maackii", "View")</f>
        <v>View</v>
      </c>
      <c r="L2" t="s">
        <v>24</v>
      </c>
      <c r="M2" t="s">
        <v>22</v>
      </c>
      <c r="N2" t="s">
        <v>25</v>
      </c>
      <c r="O2">
        <v>82342</v>
      </c>
      <c r="P2">
        <v>35.630000000000003</v>
      </c>
      <c r="Q2">
        <v>88.93</v>
      </c>
      <c r="S2">
        <v>1</v>
      </c>
      <c r="U2" t="s">
        <v>395</v>
      </c>
      <c r="V2" t="s">
        <v>396</v>
      </c>
    </row>
    <row r="3" spans="1:23" x14ac:dyDescent="0.3">
      <c r="A3">
        <v>2</v>
      </c>
      <c r="B3" t="str">
        <f>HYPERLINK("https://imapinvasives.natureserve.org/imap/services/page/Presence/1497405.html", "View")</f>
        <v>View</v>
      </c>
      <c r="C3" t="s">
        <v>26</v>
      </c>
      <c r="D3">
        <v>1497405</v>
      </c>
      <c r="E3">
        <v>1515190</v>
      </c>
      <c r="F3" t="str">
        <f>HYPERLINK("http://imap3images.s3-website-us-east-1.amazonaws.com/1515190/p/imap_app_photo_1747050678628.jpg", "View")</f>
        <v>View</v>
      </c>
      <c r="G3" t="s">
        <v>27</v>
      </c>
      <c r="H3" t="s">
        <v>22</v>
      </c>
      <c r="I3" t="s">
        <v>23</v>
      </c>
      <c r="J3">
        <v>82342</v>
      </c>
      <c r="K3" t="str">
        <f>HYPERLINK("https://www.inaturalist.org/taxa/82342-Lonicera-maackii", "View")</f>
        <v>View</v>
      </c>
      <c r="L3" t="s">
        <v>24</v>
      </c>
      <c r="M3" t="s">
        <v>22</v>
      </c>
      <c r="N3" t="s">
        <v>25</v>
      </c>
      <c r="O3">
        <v>82342</v>
      </c>
      <c r="P3">
        <v>33.619999999999997</v>
      </c>
      <c r="Q3">
        <v>99.75</v>
      </c>
      <c r="S3">
        <v>1</v>
      </c>
      <c r="U3" t="s">
        <v>395</v>
      </c>
      <c r="V3" t="s">
        <v>396</v>
      </c>
    </row>
    <row r="4" spans="1:23" x14ac:dyDescent="0.3">
      <c r="A4">
        <v>3</v>
      </c>
      <c r="B4" t="str">
        <f>HYPERLINK("https://imapinvasives.natureserve.org/imap/services/page/Presence/1493595.html", "View")</f>
        <v>View</v>
      </c>
      <c r="C4" t="s">
        <v>28</v>
      </c>
      <c r="D4">
        <v>1493595</v>
      </c>
      <c r="E4">
        <v>1511125</v>
      </c>
      <c r="F4" t="str">
        <f>HYPERLINK("http://imap3images.s3-website-us-east-1.amazonaws.com/1511125/p/Photo_1.jpg", "View")</f>
        <v>View</v>
      </c>
      <c r="G4" t="s">
        <v>29</v>
      </c>
      <c r="H4" t="s">
        <v>22</v>
      </c>
      <c r="I4" t="s">
        <v>23</v>
      </c>
      <c r="J4">
        <v>82342</v>
      </c>
      <c r="K4" t="str">
        <f>HYPERLINK("https://www.inaturalist.org/taxa/59773-Lonicera-morrowii", "View")</f>
        <v>View</v>
      </c>
      <c r="L4" t="s">
        <v>30</v>
      </c>
      <c r="M4" t="s">
        <v>31</v>
      </c>
      <c r="N4" t="s">
        <v>32</v>
      </c>
      <c r="O4">
        <v>59773</v>
      </c>
      <c r="P4">
        <v>17</v>
      </c>
      <c r="Q4">
        <v>94.29</v>
      </c>
      <c r="S4">
        <v>1</v>
      </c>
      <c r="U4" t="s">
        <v>395</v>
      </c>
      <c r="V4" t="s">
        <v>396</v>
      </c>
    </row>
    <row r="5" spans="1:23" x14ac:dyDescent="0.3">
      <c r="A5">
        <v>4</v>
      </c>
      <c r="B5" t="str">
        <f>HYPERLINK("https://imapinvasives.natureserve.org/imap/services/page/Presence/1477850.html", "View")</f>
        <v>View</v>
      </c>
      <c r="C5" t="s">
        <v>33</v>
      </c>
      <c r="D5">
        <v>1477850</v>
      </c>
      <c r="E5">
        <v>1494840</v>
      </c>
      <c r="F5" t="str">
        <f>HYPERLINK("http://imap3images.s3-website-us-east-1.amazonaws.com/1494840/p/Photo_1.jpg", "View")</f>
        <v>View</v>
      </c>
      <c r="G5" t="s">
        <v>34</v>
      </c>
      <c r="H5" t="s">
        <v>22</v>
      </c>
      <c r="I5" t="s">
        <v>23</v>
      </c>
      <c r="J5">
        <v>82342</v>
      </c>
      <c r="K5" t="str">
        <f>HYPERLINK("https://www.inaturalist.org/taxa/59773-Lonicera-morrowii", "View")</f>
        <v>View</v>
      </c>
      <c r="L5" t="s">
        <v>30</v>
      </c>
      <c r="M5" t="s">
        <v>31</v>
      </c>
      <c r="N5" t="s">
        <v>32</v>
      </c>
      <c r="O5">
        <v>59773</v>
      </c>
      <c r="P5">
        <v>13.97</v>
      </c>
      <c r="Q5">
        <v>87.57</v>
      </c>
      <c r="S5">
        <v>1</v>
      </c>
      <c r="U5" t="s">
        <v>395</v>
      </c>
      <c r="V5" t="s">
        <v>396</v>
      </c>
    </row>
    <row r="6" spans="1:23" x14ac:dyDescent="0.3">
      <c r="A6">
        <v>5</v>
      </c>
      <c r="B6" t="str">
        <f>HYPERLINK("https://imapinvasives.natureserve.org/imap/services/page/Presence/1477849.html", "View")</f>
        <v>View</v>
      </c>
      <c r="C6" t="s">
        <v>35</v>
      </c>
      <c r="D6">
        <v>1477849</v>
      </c>
      <c r="E6">
        <v>1494838</v>
      </c>
      <c r="F6" t="str">
        <f>HYPERLINK("http://imap3images.s3-website-us-east-1.amazonaws.com/1494838/p/Photo_1.jpg", "View")</f>
        <v>View</v>
      </c>
      <c r="G6" t="s">
        <v>36</v>
      </c>
      <c r="H6" t="s">
        <v>22</v>
      </c>
      <c r="I6" t="s">
        <v>23</v>
      </c>
      <c r="J6">
        <v>82342</v>
      </c>
      <c r="K6" t="str">
        <f>HYPERLINK("https://www.inaturalist.org/taxa/59773-Lonicera-morrowii", "View")</f>
        <v>View</v>
      </c>
      <c r="L6" t="s">
        <v>30</v>
      </c>
      <c r="M6" t="s">
        <v>31</v>
      </c>
      <c r="N6" t="s">
        <v>32</v>
      </c>
      <c r="O6">
        <v>59773</v>
      </c>
      <c r="P6">
        <v>13.97</v>
      </c>
      <c r="Q6">
        <v>90.81</v>
      </c>
      <c r="S6">
        <v>1</v>
      </c>
      <c r="U6" t="s">
        <v>395</v>
      </c>
      <c r="V6" t="s">
        <v>396</v>
      </c>
    </row>
    <row r="7" spans="1:23" x14ac:dyDescent="0.3">
      <c r="A7">
        <v>6</v>
      </c>
      <c r="B7" t="str">
        <f>HYPERLINK("https://imapinvasives.natureserve.org/imap/services/page/Presence/1477847.html", "View")</f>
        <v>View</v>
      </c>
      <c r="C7" t="s">
        <v>37</v>
      </c>
      <c r="D7">
        <v>1477847</v>
      </c>
      <c r="E7">
        <v>1494830</v>
      </c>
      <c r="F7" t="str">
        <f>HYPERLINK("http://imap3images.s3-website-us-east-1.amazonaws.com/1494830/p/Photo_1.jpg", "View")</f>
        <v>View</v>
      </c>
      <c r="G7" t="s">
        <v>38</v>
      </c>
      <c r="H7" t="s">
        <v>22</v>
      </c>
      <c r="I7" t="s">
        <v>23</v>
      </c>
      <c r="J7">
        <v>82342</v>
      </c>
      <c r="K7" t="str">
        <f>HYPERLINK("https://www.inaturalist.org/taxa/67808-Solidago-canadensis", "View")</f>
        <v>View</v>
      </c>
      <c r="L7" t="s">
        <v>39</v>
      </c>
      <c r="M7" t="s">
        <v>40</v>
      </c>
      <c r="N7" t="s">
        <v>41</v>
      </c>
      <c r="O7">
        <v>67808</v>
      </c>
      <c r="P7">
        <v>15.03</v>
      </c>
      <c r="Q7">
        <v>34.159999999999997</v>
      </c>
      <c r="S7">
        <v>0</v>
      </c>
      <c r="U7" t="s">
        <v>397</v>
      </c>
      <c r="V7" t="s">
        <v>398</v>
      </c>
    </row>
    <row r="8" spans="1:23" x14ac:dyDescent="0.3">
      <c r="A8">
        <v>7</v>
      </c>
      <c r="B8" t="str">
        <f>HYPERLINK("https://imapinvasives.natureserve.org/imap/services/page/Presence/1477846.html", "View")</f>
        <v>View</v>
      </c>
      <c r="C8" t="s">
        <v>42</v>
      </c>
      <c r="D8">
        <v>1477846</v>
      </c>
      <c r="E8">
        <v>1494824</v>
      </c>
      <c r="F8" t="str">
        <f>HYPERLINK("http://imap3images.s3-website-us-east-1.amazonaws.com/1494824/p/Photo_1.jpg", "View")</f>
        <v>View</v>
      </c>
      <c r="G8" t="s">
        <v>43</v>
      </c>
      <c r="H8" t="s">
        <v>22</v>
      </c>
      <c r="I8" t="s">
        <v>23</v>
      </c>
      <c r="J8">
        <v>82342</v>
      </c>
      <c r="K8" t="str">
        <f>HYPERLINK("https://www.inaturalist.org/taxa/469472-Malus-domestica", "View")</f>
        <v>View</v>
      </c>
      <c r="L8" t="s">
        <v>44</v>
      </c>
      <c r="M8" t="s">
        <v>45</v>
      </c>
      <c r="N8" t="s">
        <v>46</v>
      </c>
      <c r="O8">
        <v>469472</v>
      </c>
      <c r="P8">
        <v>15.69</v>
      </c>
      <c r="Q8">
        <v>23.38</v>
      </c>
      <c r="S8">
        <v>0</v>
      </c>
      <c r="U8" t="s">
        <v>399</v>
      </c>
      <c r="V8" t="s">
        <v>400</v>
      </c>
    </row>
    <row r="9" spans="1:23" x14ac:dyDescent="0.3">
      <c r="A9">
        <v>8</v>
      </c>
      <c r="B9" t="str">
        <f>HYPERLINK("https://imapinvasives.natureserve.org/imap/services/page/Presence/1477011.html", "View")</f>
        <v>View</v>
      </c>
      <c r="C9" t="s">
        <v>47</v>
      </c>
      <c r="D9">
        <v>1477011</v>
      </c>
      <c r="E9">
        <v>1493903</v>
      </c>
      <c r="F9" t="str">
        <f>HYPERLINK("http://imap3images.s3-website-us-east-1.amazonaws.com/1493903/p/Photo_1.jpg", "View")</f>
        <v>View</v>
      </c>
      <c r="G9" t="s">
        <v>48</v>
      </c>
      <c r="H9" t="s">
        <v>22</v>
      </c>
      <c r="I9" t="s">
        <v>23</v>
      </c>
      <c r="J9">
        <v>82342</v>
      </c>
      <c r="K9" t="str">
        <f>HYPERLINK("https://www.inaturalist.org/taxa/77836-Lonicera-tatarica", "View")</f>
        <v>View</v>
      </c>
      <c r="L9" t="s">
        <v>49</v>
      </c>
      <c r="M9" t="s">
        <v>50</v>
      </c>
      <c r="N9" t="s">
        <v>51</v>
      </c>
      <c r="O9">
        <v>77836</v>
      </c>
      <c r="P9">
        <v>10.51</v>
      </c>
      <c r="Q9">
        <v>92.5</v>
      </c>
      <c r="S9">
        <v>1</v>
      </c>
      <c r="U9" t="s">
        <v>395</v>
      </c>
      <c r="V9" t="s">
        <v>396</v>
      </c>
    </row>
    <row r="10" spans="1:23" x14ac:dyDescent="0.3">
      <c r="A10">
        <v>8</v>
      </c>
      <c r="B10" t="str">
        <f>HYPERLINK("https://imapinvasives.natureserve.org/imap/services/page/Presence/1477011.html", "View")</f>
        <v>View</v>
      </c>
      <c r="C10" t="s">
        <v>47</v>
      </c>
      <c r="D10">
        <v>1477011</v>
      </c>
      <c r="E10">
        <v>1493898</v>
      </c>
      <c r="F10" t="str">
        <f>HYPERLINK("http://imap3images.s3-website-us-east-1.amazonaws.com/1493898/p/Photo_1.jpg", "View")</f>
        <v>View</v>
      </c>
      <c r="G10" t="s">
        <v>52</v>
      </c>
      <c r="H10" t="s">
        <v>31</v>
      </c>
      <c r="I10" t="s">
        <v>53</v>
      </c>
      <c r="J10">
        <v>59773</v>
      </c>
      <c r="K10" t="str">
        <f>HYPERLINK("https://www.inaturalist.org/taxa/59773-Lonicera-morrowii", "View")</f>
        <v>View</v>
      </c>
      <c r="L10" t="s">
        <v>30</v>
      </c>
      <c r="M10" t="s">
        <v>31</v>
      </c>
      <c r="N10" t="s">
        <v>32</v>
      </c>
      <c r="O10">
        <v>59773</v>
      </c>
      <c r="P10">
        <v>14.61</v>
      </c>
      <c r="Q10">
        <v>99.43</v>
      </c>
      <c r="S10">
        <v>1</v>
      </c>
      <c r="U10" t="s">
        <v>395</v>
      </c>
      <c r="V10" t="s">
        <v>396</v>
      </c>
    </row>
    <row r="11" spans="1:23" x14ac:dyDescent="0.3">
      <c r="A11">
        <v>9</v>
      </c>
      <c r="B11" t="str">
        <f>HYPERLINK("https://imapinvasives.natureserve.org/imap/services/page/Presence/1475149.html", "View")</f>
        <v>View</v>
      </c>
      <c r="C11" t="s">
        <v>54</v>
      </c>
      <c r="D11">
        <v>1475149</v>
      </c>
      <c r="E11">
        <v>1491552</v>
      </c>
      <c r="F11" t="str">
        <f>HYPERLINK("http://imap3images.s3-website-us-east-1.amazonaws.com/1491552/p/Photo_1.jpg", "View")</f>
        <v>View</v>
      </c>
      <c r="G11" t="s">
        <v>55</v>
      </c>
      <c r="H11" t="s">
        <v>56</v>
      </c>
      <c r="I11" t="s">
        <v>57</v>
      </c>
      <c r="J11">
        <v>124548</v>
      </c>
      <c r="K11" t="str">
        <f>HYPERLINK("https://www.inaturalist.org/taxa/124548-Lonicera-xylosteum", "View")</f>
        <v>View</v>
      </c>
      <c r="L11" t="s">
        <v>58</v>
      </c>
      <c r="M11" t="s">
        <v>56</v>
      </c>
      <c r="N11" t="s">
        <v>59</v>
      </c>
      <c r="O11">
        <v>124548</v>
      </c>
      <c r="P11">
        <v>3.2</v>
      </c>
      <c r="Q11">
        <v>98.58</v>
      </c>
      <c r="S11">
        <v>1</v>
      </c>
      <c r="U11" t="s">
        <v>395</v>
      </c>
      <c r="V11" t="s">
        <v>396</v>
      </c>
    </row>
    <row r="12" spans="1:23" x14ac:dyDescent="0.3">
      <c r="A12">
        <v>10</v>
      </c>
      <c r="B12" t="str">
        <f>HYPERLINK("https://imapinvasives.natureserve.org/imap/services/page/Presence/1475147.html", "View")</f>
        <v>View</v>
      </c>
      <c r="C12" t="s">
        <v>60</v>
      </c>
      <c r="D12">
        <v>1475147</v>
      </c>
      <c r="E12">
        <v>1491550</v>
      </c>
      <c r="F12" t="str">
        <f>HYPERLINK("http://imap3images.s3-website-us-east-1.amazonaws.com/1491550/p/Photo_1.jpg", "View")</f>
        <v>View</v>
      </c>
      <c r="G12" t="s">
        <v>61</v>
      </c>
      <c r="H12" t="s">
        <v>56</v>
      </c>
      <c r="I12" t="s">
        <v>57</v>
      </c>
      <c r="J12">
        <v>124548</v>
      </c>
      <c r="K12" t="str">
        <f>HYPERLINK("https://www.inaturalist.org/taxa/124548-Lonicera-xylosteum", "View")</f>
        <v>View</v>
      </c>
      <c r="L12" t="s">
        <v>58</v>
      </c>
      <c r="M12" t="s">
        <v>56</v>
      </c>
      <c r="N12" t="s">
        <v>59</v>
      </c>
      <c r="O12">
        <v>124548</v>
      </c>
      <c r="P12">
        <v>3.2</v>
      </c>
      <c r="Q12">
        <v>4.3499999999999996</v>
      </c>
      <c r="S12">
        <v>1</v>
      </c>
      <c r="U12" t="s">
        <v>395</v>
      </c>
      <c r="V12" t="s">
        <v>401</v>
      </c>
    </row>
    <row r="13" spans="1:23" x14ac:dyDescent="0.3">
      <c r="A13">
        <v>11</v>
      </c>
      <c r="B13" t="str">
        <f>HYPERLINK("https://imapinvasives.natureserve.org/imap/services/page/Presence/1469519.html", "View")</f>
        <v>View</v>
      </c>
      <c r="C13" t="s">
        <v>62</v>
      </c>
      <c r="D13">
        <v>1469519</v>
      </c>
      <c r="E13">
        <v>1485079</v>
      </c>
      <c r="F13" t="str">
        <f>HYPERLINK("http://imap3images.s3-website-us-east-1.amazonaws.com/1485079/p/Photo_1.jpg", "View")</f>
        <v>View</v>
      </c>
      <c r="G13" t="s">
        <v>63</v>
      </c>
      <c r="H13" t="s">
        <v>22</v>
      </c>
      <c r="I13" t="s">
        <v>23</v>
      </c>
      <c r="J13">
        <v>82342</v>
      </c>
      <c r="K13" t="str">
        <f>HYPERLINK("https://www.inaturalist.org/taxa/59773-Lonicera-morrowii", "View")</f>
        <v>View</v>
      </c>
      <c r="L13" t="s">
        <v>30</v>
      </c>
      <c r="M13" t="s">
        <v>31</v>
      </c>
      <c r="N13" t="s">
        <v>32</v>
      </c>
      <c r="O13">
        <v>59773</v>
      </c>
      <c r="P13">
        <v>6.74</v>
      </c>
      <c r="Q13">
        <v>87.91</v>
      </c>
      <c r="S13">
        <v>1</v>
      </c>
      <c r="U13" t="s">
        <v>395</v>
      </c>
      <c r="V13" t="s">
        <v>396</v>
      </c>
    </row>
    <row r="14" spans="1:23" x14ac:dyDescent="0.3">
      <c r="A14">
        <v>12</v>
      </c>
      <c r="B14" t="str">
        <f>HYPERLINK("https://imapinvasives.natureserve.org/imap/services/page/Presence/1469508.html", "View")</f>
        <v>View</v>
      </c>
      <c r="C14" t="s">
        <v>64</v>
      </c>
      <c r="D14">
        <v>1469508</v>
      </c>
      <c r="E14">
        <v>1485066</v>
      </c>
      <c r="F14" t="str">
        <f>HYPERLINK("http://imap3images.s3-website-us-east-1.amazonaws.com/1485066/p/Photo_1.jpg", "View")</f>
        <v>View</v>
      </c>
      <c r="G14" t="s">
        <v>65</v>
      </c>
      <c r="H14" t="s">
        <v>22</v>
      </c>
      <c r="I14" t="s">
        <v>23</v>
      </c>
      <c r="J14">
        <v>82342</v>
      </c>
      <c r="K14" t="str">
        <f t="shared" ref="K14:K37" si="0">HYPERLINK("https://www.inaturalist.org/taxa/82342-Lonicera-maackii", "View")</f>
        <v>View</v>
      </c>
      <c r="L14" t="s">
        <v>24</v>
      </c>
      <c r="M14" t="s">
        <v>22</v>
      </c>
      <c r="N14" t="s">
        <v>25</v>
      </c>
      <c r="O14">
        <v>82342</v>
      </c>
      <c r="P14">
        <v>2.14</v>
      </c>
      <c r="Q14">
        <v>4.97</v>
      </c>
      <c r="S14">
        <v>1</v>
      </c>
      <c r="U14" t="s">
        <v>395</v>
      </c>
      <c r="V14" t="s">
        <v>402</v>
      </c>
    </row>
    <row r="15" spans="1:23" x14ac:dyDescent="0.3">
      <c r="A15">
        <v>13</v>
      </c>
      <c r="B15" t="str">
        <f>HYPERLINK("https://imapinvasives.natureserve.org/imap/services/page/Presence/1456555.html", "View")</f>
        <v>View</v>
      </c>
      <c r="C15" t="s">
        <v>66</v>
      </c>
      <c r="D15">
        <v>1456555</v>
      </c>
      <c r="E15">
        <v>1471458</v>
      </c>
      <c r="F15" t="str">
        <f>HYPERLINK("http://imap3images.s3-website-us-east-1.amazonaws.com/1471458/p/imap_app_photo_1727343848868.jpg", "View")</f>
        <v>View</v>
      </c>
      <c r="G15" t="s">
        <v>67</v>
      </c>
      <c r="H15" t="s">
        <v>22</v>
      </c>
      <c r="I15" t="s">
        <v>23</v>
      </c>
      <c r="J15">
        <v>82342</v>
      </c>
      <c r="K15" t="str">
        <f t="shared" si="0"/>
        <v>View</v>
      </c>
      <c r="L15" t="s">
        <v>24</v>
      </c>
      <c r="M15" t="s">
        <v>22</v>
      </c>
      <c r="N15" t="s">
        <v>25</v>
      </c>
      <c r="O15">
        <v>82342</v>
      </c>
      <c r="P15">
        <v>33.619999999999997</v>
      </c>
      <c r="Q15">
        <v>30.03</v>
      </c>
      <c r="S15">
        <v>1</v>
      </c>
      <c r="U15" t="s">
        <v>395</v>
      </c>
      <c r="V15" t="s">
        <v>396</v>
      </c>
    </row>
    <row r="16" spans="1:23" x14ac:dyDescent="0.3">
      <c r="A16">
        <v>14</v>
      </c>
      <c r="B16" t="str">
        <f>HYPERLINK("https://imapinvasives.natureserve.org/imap/services/page/Presence/1456103.html", "View")</f>
        <v>View</v>
      </c>
      <c r="C16" t="s">
        <v>68</v>
      </c>
      <c r="D16">
        <v>1456103</v>
      </c>
      <c r="E16">
        <v>1471002</v>
      </c>
      <c r="F16" t="str">
        <f>HYPERLINK("http://imap3images.s3-website-us-east-1.amazonaws.com/1471002/p/imap_app_photo_1727046977686.jpg", "View")</f>
        <v>View</v>
      </c>
      <c r="G16" t="s">
        <v>69</v>
      </c>
      <c r="H16" t="s">
        <v>22</v>
      </c>
      <c r="I16" t="s">
        <v>23</v>
      </c>
      <c r="J16">
        <v>82342</v>
      </c>
      <c r="K16" t="str">
        <f t="shared" si="0"/>
        <v>View</v>
      </c>
      <c r="L16" t="s">
        <v>24</v>
      </c>
      <c r="M16" t="s">
        <v>22</v>
      </c>
      <c r="N16" t="s">
        <v>25</v>
      </c>
      <c r="O16">
        <v>82342</v>
      </c>
      <c r="P16">
        <v>33.619999999999997</v>
      </c>
      <c r="Q16">
        <v>92.68</v>
      </c>
      <c r="S16">
        <v>1</v>
      </c>
      <c r="U16" t="s">
        <v>395</v>
      </c>
      <c r="V16" t="s">
        <v>396</v>
      </c>
    </row>
    <row r="17" spans="1:22" x14ac:dyDescent="0.3">
      <c r="A17">
        <v>15</v>
      </c>
      <c r="B17" t="str">
        <f>HYPERLINK("https://imapinvasives.natureserve.org/imap/services/page/Presence/1444413.html", "View")</f>
        <v>View</v>
      </c>
      <c r="C17" t="s">
        <v>70</v>
      </c>
      <c r="D17">
        <v>1444413</v>
      </c>
      <c r="E17">
        <v>1459165</v>
      </c>
      <c r="F17" t="str">
        <f>HYPERLINK("http://imap3images.s3-website-us-east-1.amazonaws.com/1459165/p/imap_app_photo_1725912734695.jpg", "View")</f>
        <v>View</v>
      </c>
      <c r="G17" t="s">
        <v>71</v>
      </c>
      <c r="H17" t="s">
        <v>22</v>
      </c>
      <c r="I17" t="s">
        <v>23</v>
      </c>
      <c r="J17">
        <v>82342</v>
      </c>
      <c r="K17" t="str">
        <f t="shared" si="0"/>
        <v>View</v>
      </c>
      <c r="L17" t="s">
        <v>24</v>
      </c>
      <c r="M17" t="s">
        <v>22</v>
      </c>
      <c r="N17" t="s">
        <v>25</v>
      </c>
      <c r="O17">
        <v>82342</v>
      </c>
      <c r="P17">
        <v>15.84</v>
      </c>
      <c r="Q17">
        <v>95.07</v>
      </c>
      <c r="S17">
        <v>1</v>
      </c>
      <c r="U17" t="s">
        <v>395</v>
      </c>
      <c r="V17" t="s">
        <v>396</v>
      </c>
    </row>
    <row r="18" spans="1:22" x14ac:dyDescent="0.3">
      <c r="A18">
        <v>16</v>
      </c>
      <c r="B18" t="str">
        <f>HYPERLINK("https://imapinvasives.natureserve.org/imap/services/page/Presence/1443924.html", "View")</f>
        <v>View</v>
      </c>
      <c r="C18" t="s">
        <v>72</v>
      </c>
      <c r="D18">
        <v>1443924</v>
      </c>
      <c r="E18">
        <v>1458575</v>
      </c>
      <c r="F18" t="str">
        <f>HYPERLINK("http://imap3images.s3-website-us-east-1.amazonaws.com/1458575/p/imap_app_photo_1725398074536.jpg", "View")</f>
        <v>View</v>
      </c>
      <c r="G18" t="s">
        <v>73</v>
      </c>
      <c r="H18" t="s">
        <v>22</v>
      </c>
      <c r="I18" t="s">
        <v>23</v>
      </c>
      <c r="J18">
        <v>82342</v>
      </c>
      <c r="K18" t="str">
        <f t="shared" si="0"/>
        <v>View</v>
      </c>
      <c r="L18" t="s">
        <v>24</v>
      </c>
      <c r="M18" t="s">
        <v>22</v>
      </c>
      <c r="N18" t="s">
        <v>25</v>
      </c>
      <c r="O18">
        <v>82342</v>
      </c>
      <c r="P18">
        <v>33.619999999999997</v>
      </c>
      <c r="Q18">
        <v>99.24</v>
      </c>
      <c r="S18">
        <v>1</v>
      </c>
      <c r="U18" t="s">
        <v>395</v>
      </c>
      <c r="V18" t="s">
        <v>396</v>
      </c>
    </row>
    <row r="19" spans="1:22" x14ac:dyDescent="0.3">
      <c r="A19">
        <v>17</v>
      </c>
      <c r="B19" t="str">
        <f>HYPERLINK("https://imapinvasives.natureserve.org/imap/services/page/Presence/1443923.html", "View")</f>
        <v>View</v>
      </c>
      <c r="C19" t="s">
        <v>74</v>
      </c>
      <c r="D19">
        <v>1443923</v>
      </c>
      <c r="E19">
        <v>1458574</v>
      </c>
      <c r="F19" t="str">
        <f>HYPERLINK("http://imap3images.s3-website-us-east-1.amazonaws.com/1458574/p/imap_app_photo_1725398071557.jpg", "View")</f>
        <v>View</v>
      </c>
      <c r="G19" t="s">
        <v>75</v>
      </c>
      <c r="H19" t="s">
        <v>22</v>
      </c>
      <c r="I19" t="s">
        <v>23</v>
      </c>
      <c r="J19">
        <v>82342</v>
      </c>
      <c r="K19" t="str">
        <f t="shared" si="0"/>
        <v>View</v>
      </c>
      <c r="L19" t="s">
        <v>24</v>
      </c>
      <c r="M19" t="s">
        <v>22</v>
      </c>
      <c r="N19" t="s">
        <v>25</v>
      </c>
      <c r="O19">
        <v>82342</v>
      </c>
      <c r="P19">
        <v>33.619999999999997</v>
      </c>
      <c r="Q19">
        <v>99.49</v>
      </c>
      <c r="S19">
        <v>1</v>
      </c>
      <c r="U19" t="s">
        <v>395</v>
      </c>
      <c r="V19" t="s">
        <v>396</v>
      </c>
    </row>
    <row r="20" spans="1:22" x14ac:dyDescent="0.3">
      <c r="A20">
        <v>18</v>
      </c>
      <c r="B20" t="str">
        <f>HYPERLINK("https://imapinvasives.natureserve.org/imap/services/page/Presence/1443922.html", "View")</f>
        <v>View</v>
      </c>
      <c r="C20" t="s">
        <v>76</v>
      </c>
      <c r="D20">
        <v>1443922</v>
      </c>
      <c r="E20">
        <v>1458573</v>
      </c>
      <c r="F20" t="str">
        <f>HYPERLINK("http://imap3images.s3-website-us-east-1.amazonaws.com/1458573/p/imap_app_photo_1725398069367.jpg", "View")</f>
        <v>View</v>
      </c>
      <c r="G20" t="s">
        <v>77</v>
      </c>
      <c r="H20" t="s">
        <v>22</v>
      </c>
      <c r="I20" t="s">
        <v>23</v>
      </c>
      <c r="J20">
        <v>82342</v>
      </c>
      <c r="K20" t="str">
        <f t="shared" si="0"/>
        <v>View</v>
      </c>
      <c r="L20" t="s">
        <v>24</v>
      </c>
      <c r="M20" t="s">
        <v>22</v>
      </c>
      <c r="N20" t="s">
        <v>25</v>
      </c>
      <c r="O20">
        <v>82342</v>
      </c>
      <c r="P20">
        <v>33.619999999999997</v>
      </c>
      <c r="Q20">
        <v>92.45</v>
      </c>
      <c r="S20">
        <v>1</v>
      </c>
      <c r="U20" t="s">
        <v>395</v>
      </c>
      <c r="V20" t="s">
        <v>396</v>
      </c>
    </row>
    <row r="21" spans="1:22" x14ac:dyDescent="0.3">
      <c r="A21">
        <v>19</v>
      </c>
      <c r="B21" t="str">
        <f>HYPERLINK("https://imapinvasives.natureserve.org/imap/services/page/Presence/1443919.html", "View")</f>
        <v>View</v>
      </c>
      <c r="C21" t="s">
        <v>78</v>
      </c>
      <c r="D21">
        <v>1443919</v>
      </c>
      <c r="E21">
        <v>1458570</v>
      </c>
      <c r="F21" t="str">
        <f>HYPERLINK("http://imap3images.s3-website-us-east-1.amazonaws.com/1458570/p/imap_app_photo_1725398061188.jpg", "View")</f>
        <v>View</v>
      </c>
      <c r="G21" t="s">
        <v>79</v>
      </c>
      <c r="H21" t="s">
        <v>22</v>
      </c>
      <c r="I21" t="s">
        <v>23</v>
      </c>
      <c r="J21">
        <v>82342</v>
      </c>
      <c r="K21" t="str">
        <f t="shared" si="0"/>
        <v>View</v>
      </c>
      <c r="L21" t="s">
        <v>24</v>
      </c>
      <c r="M21" t="s">
        <v>22</v>
      </c>
      <c r="N21" t="s">
        <v>25</v>
      </c>
      <c r="O21">
        <v>82342</v>
      </c>
      <c r="P21">
        <v>33.619999999999997</v>
      </c>
      <c r="Q21">
        <v>89.41</v>
      </c>
      <c r="S21">
        <v>1</v>
      </c>
      <c r="U21" t="s">
        <v>395</v>
      </c>
      <c r="V21" t="s">
        <v>396</v>
      </c>
    </row>
    <row r="22" spans="1:22" x14ac:dyDescent="0.3">
      <c r="A22">
        <v>20</v>
      </c>
      <c r="B22" t="str">
        <f>HYPERLINK("https://imapinvasives.natureserve.org/imap/services/page/Presence/1443917.html", "View")</f>
        <v>View</v>
      </c>
      <c r="C22" t="s">
        <v>80</v>
      </c>
      <c r="D22">
        <v>1443917</v>
      </c>
      <c r="E22">
        <v>1458568</v>
      </c>
      <c r="F22" t="str">
        <f>HYPERLINK("http://imap3images.s3-website-us-east-1.amazonaws.com/1458568/p/imap_app_photo_1725398055735.jpg", "View")</f>
        <v>View</v>
      </c>
      <c r="G22" t="s">
        <v>81</v>
      </c>
      <c r="H22" t="s">
        <v>22</v>
      </c>
      <c r="I22" t="s">
        <v>23</v>
      </c>
      <c r="J22">
        <v>82342</v>
      </c>
      <c r="K22" t="str">
        <f t="shared" si="0"/>
        <v>View</v>
      </c>
      <c r="L22" t="s">
        <v>24</v>
      </c>
      <c r="M22" t="s">
        <v>22</v>
      </c>
      <c r="N22" t="s">
        <v>25</v>
      </c>
      <c r="O22">
        <v>82342</v>
      </c>
      <c r="P22">
        <v>33.619999999999997</v>
      </c>
      <c r="Q22">
        <v>69.040000000000006</v>
      </c>
      <c r="S22">
        <v>1</v>
      </c>
      <c r="U22" t="s">
        <v>395</v>
      </c>
      <c r="V22" t="s">
        <v>396</v>
      </c>
    </row>
    <row r="23" spans="1:22" x14ac:dyDescent="0.3">
      <c r="A23">
        <v>21</v>
      </c>
      <c r="B23" t="str">
        <f>HYPERLINK("https://imapinvasives.natureserve.org/imap/services/page/Presence/1443916.html", "View")</f>
        <v>View</v>
      </c>
      <c r="C23" t="s">
        <v>82</v>
      </c>
      <c r="D23">
        <v>1443916</v>
      </c>
      <c r="E23">
        <v>1458567</v>
      </c>
      <c r="F23" t="str">
        <f>HYPERLINK("http://imap3images.s3-website-us-east-1.amazonaws.com/1458567/p/imap_app_photo_1725398052512.jpg", "View")</f>
        <v>View</v>
      </c>
      <c r="G23" t="s">
        <v>83</v>
      </c>
      <c r="H23" t="s">
        <v>22</v>
      </c>
      <c r="I23" t="s">
        <v>23</v>
      </c>
      <c r="J23">
        <v>82342</v>
      </c>
      <c r="K23" t="str">
        <f t="shared" si="0"/>
        <v>View</v>
      </c>
      <c r="L23" t="s">
        <v>24</v>
      </c>
      <c r="M23" t="s">
        <v>22</v>
      </c>
      <c r="N23" t="s">
        <v>25</v>
      </c>
      <c r="O23">
        <v>82342</v>
      </c>
      <c r="P23">
        <v>33.619999999999997</v>
      </c>
      <c r="Q23">
        <v>98.76</v>
      </c>
      <c r="S23">
        <v>1</v>
      </c>
      <c r="U23" t="s">
        <v>395</v>
      </c>
      <c r="V23" t="s">
        <v>396</v>
      </c>
    </row>
    <row r="24" spans="1:22" x14ac:dyDescent="0.3">
      <c r="A24">
        <v>22</v>
      </c>
      <c r="B24" t="str">
        <f>HYPERLINK("https://imapinvasives.natureserve.org/imap/services/page/Presence/1443911.html", "View")</f>
        <v>View</v>
      </c>
      <c r="C24" t="s">
        <v>84</v>
      </c>
      <c r="D24">
        <v>1443911</v>
      </c>
      <c r="E24">
        <v>1458562</v>
      </c>
      <c r="F24" t="str">
        <f>HYPERLINK("http://imap3images.s3-website-us-east-1.amazonaws.com/1458562/p/imap_app_photo_1725398036528.jpg", "View")</f>
        <v>View</v>
      </c>
      <c r="G24" t="s">
        <v>85</v>
      </c>
      <c r="H24" t="s">
        <v>22</v>
      </c>
      <c r="I24" t="s">
        <v>23</v>
      </c>
      <c r="J24">
        <v>82342</v>
      </c>
      <c r="K24" t="str">
        <f t="shared" si="0"/>
        <v>View</v>
      </c>
      <c r="L24" t="s">
        <v>24</v>
      </c>
      <c r="M24" t="s">
        <v>22</v>
      </c>
      <c r="N24" t="s">
        <v>25</v>
      </c>
      <c r="O24">
        <v>82342</v>
      </c>
      <c r="P24">
        <v>33.619999999999997</v>
      </c>
      <c r="Q24">
        <v>96.41</v>
      </c>
      <c r="S24">
        <v>1</v>
      </c>
      <c r="U24" t="s">
        <v>395</v>
      </c>
      <c r="V24" t="s">
        <v>396</v>
      </c>
    </row>
    <row r="25" spans="1:22" x14ac:dyDescent="0.3">
      <c r="A25">
        <v>23</v>
      </c>
      <c r="B25" t="str">
        <f>HYPERLINK("https://imapinvasives.natureserve.org/imap/services/page/Presence/1443910.html", "View")</f>
        <v>View</v>
      </c>
      <c r="C25" t="s">
        <v>86</v>
      </c>
      <c r="D25">
        <v>1443910</v>
      </c>
      <c r="E25">
        <v>1458561</v>
      </c>
      <c r="F25" t="str">
        <f>HYPERLINK("http://imap3images.s3-website-us-east-1.amazonaws.com/1458561/p/imap_app_photo_1725398030935.jpg", "View")</f>
        <v>View</v>
      </c>
      <c r="G25" t="s">
        <v>87</v>
      </c>
      <c r="H25" t="s">
        <v>22</v>
      </c>
      <c r="I25" t="s">
        <v>23</v>
      </c>
      <c r="J25">
        <v>82342</v>
      </c>
      <c r="K25" t="str">
        <f t="shared" si="0"/>
        <v>View</v>
      </c>
      <c r="L25" t="s">
        <v>24</v>
      </c>
      <c r="M25" t="s">
        <v>22</v>
      </c>
      <c r="N25" t="s">
        <v>25</v>
      </c>
      <c r="O25">
        <v>82342</v>
      </c>
      <c r="P25">
        <v>33.619999999999997</v>
      </c>
      <c r="Q25">
        <v>86.36</v>
      </c>
      <c r="S25">
        <v>1</v>
      </c>
      <c r="U25" t="s">
        <v>395</v>
      </c>
      <c r="V25" t="s">
        <v>396</v>
      </c>
    </row>
    <row r="26" spans="1:22" x14ac:dyDescent="0.3">
      <c r="A26">
        <v>24</v>
      </c>
      <c r="B26" t="str">
        <f>HYPERLINK("https://imapinvasives.natureserve.org/imap/services/page/Presence/1443908.html", "View")</f>
        <v>View</v>
      </c>
      <c r="C26" t="s">
        <v>88</v>
      </c>
      <c r="D26">
        <v>1443908</v>
      </c>
      <c r="E26">
        <v>1458559</v>
      </c>
      <c r="F26" t="str">
        <f>HYPERLINK("http://imap3images.s3-website-us-east-1.amazonaws.com/1458559/p/imap_app_photo_1725398025387.jpg", "View")</f>
        <v>View</v>
      </c>
      <c r="G26" t="s">
        <v>89</v>
      </c>
      <c r="H26" t="s">
        <v>22</v>
      </c>
      <c r="I26" t="s">
        <v>23</v>
      </c>
      <c r="J26">
        <v>82342</v>
      </c>
      <c r="K26" t="str">
        <f t="shared" si="0"/>
        <v>View</v>
      </c>
      <c r="L26" t="s">
        <v>24</v>
      </c>
      <c r="M26" t="s">
        <v>22</v>
      </c>
      <c r="N26" t="s">
        <v>25</v>
      </c>
      <c r="O26">
        <v>82342</v>
      </c>
      <c r="P26">
        <v>33.619999999999997</v>
      </c>
      <c r="Q26">
        <v>20.36</v>
      </c>
      <c r="S26">
        <v>1</v>
      </c>
      <c r="U26" t="s">
        <v>395</v>
      </c>
      <c r="V26" t="s">
        <v>401</v>
      </c>
    </row>
    <row r="27" spans="1:22" x14ac:dyDescent="0.3">
      <c r="A27">
        <v>25</v>
      </c>
      <c r="B27" t="str">
        <f>HYPERLINK("https://imapinvasives.natureserve.org/imap/services/page/Presence/1443907.html", "View")</f>
        <v>View</v>
      </c>
      <c r="C27" t="s">
        <v>90</v>
      </c>
      <c r="D27">
        <v>1443907</v>
      </c>
      <c r="E27">
        <v>1458558</v>
      </c>
      <c r="F27" t="str">
        <f>HYPERLINK("http://imap3images.s3-website-us-east-1.amazonaws.com/1458558/p/imap_app_photo_1725398020278.jpg", "View")</f>
        <v>View</v>
      </c>
      <c r="G27" t="s">
        <v>91</v>
      </c>
      <c r="H27" t="s">
        <v>22</v>
      </c>
      <c r="I27" t="s">
        <v>23</v>
      </c>
      <c r="J27">
        <v>82342</v>
      </c>
      <c r="K27" t="str">
        <f t="shared" si="0"/>
        <v>View</v>
      </c>
      <c r="L27" t="s">
        <v>24</v>
      </c>
      <c r="M27" t="s">
        <v>22</v>
      </c>
      <c r="N27" t="s">
        <v>25</v>
      </c>
      <c r="O27">
        <v>82342</v>
      </c>
      <c r="P27">
        <v>33.619999999999997</v>
      </c>
      <c r="Q27">
        <v>8.67</v>
      </c>
      <c r="S27">
        <v>1</v>
      </c>
      <c r="U27" t="s">
        <v>395</v>
      </c>
      <c r="V27" t="s">
        <v>400</v>
      </c>
    </row>
    <row r="28" spans="1:22" x14ac:dyDescent="0.3">
      <c r="A28">
        <v>26</v>
      </c>
      <c r="B28" t="str">
        <f>HYPERLINK("https://imapinvasives.natureserve.org/imap/services/page/Presence/1443906.html", "View")</f>
        <v>View</v>
      </c>
      <c r="C28" t="s">
        <v>92</v>
      </c>
      <c r="D28">
        <v>1443906</v>
      </c>
      <c r="E28">
        <v>1458557</v>
      </c>
      <c r="F28" t="str">
        <f>HYPERLINK("http://imap3images.s3-website-us-east-1.amazonaws.com/1458557/p/imap_app_photo_1725398017205.jpg", "View")</f>
        <v>View</v>
      </c>
      <c r="G28" t="s">
        <v>93</v>
      </c>
      <c r="H28" t="s">
        <v>22</v>
      </c>
      <c r="I28" t="s">
        <v>23</v>
      </c>
      <c r="J28">
        <v>82342</v>
      </c>
      <c r="K28" t="str">
        <f t="shared" si="0"/>
        <v>View</v>
      </c>
      <c r="L28" t="s">
        <v>24</v>
      </c>
      <c r="M28" t="s">
        <v>22</v>
      </c>
      <c r="N28" t="s">
        <v>25</v>
      </c>
      <c r="O28">
        <v>82342</v>
      </c>
      <c r="P28">
        <v>33.619999999999997</v>
      </c>
      <c r="Q28">
        <v>78.33</v>
      </c>
      <c r="S28">
        <v>1</v>
      </c>
      <c r="U28" t="s">
        <v>395</v>
      </c>
      <c r="V28" t="s">
        <v>396</v>
      </c>
    </row>
    <row r="29" spans="1:22" x14ac:dyDescent="0.3">
      <c r="A29">
        <v>27</v>
      </c>
      <c r="B29" t="str">
        <f>HYPERLINK("https://imapinvasives.natureserve.org/imap/services/page/Presence/1443905.html", "View")</f>
        <v>View</v>
      </c>
      <c r="C29" t="s">
        <v>94</v>
      </c>
      <c r="D29">
        <v>1443905</v>
      </c>
      <c r="E29">
        <v>1458556</v>
      </c>
      <c r="F29" t="str">
        <f>HYPERLINK("http://imap3images.s3-website-us-east-1.amazonaws.com/1458556/p/imap_app_photo_1725398008259.jpg", "View")</f>
        <v>View</v>
      </c>
      <c r="G29" t="s">
        <v>95</v>
      </c>
      <c r="H29" t="s">
        <v>22</v>
      </c>
      <c r="I29" t="s">
        <v>23</v>
      </c>
      <c r="J29">
        <v>82342</v>
      </c>
      <c r="K29" t="str">
        <f t="shared" si="0"/>
        <v>View</v>
      </c>
      <c r="L29" t="s">
        <v>24</v>
      </c>
      <c r="M29" t="s">
        <v>22</v>
      </c>
      <c r="N29" t="s">
        <v>25</v>
      </c>
      <c r="O29">
        <v>82342</v>
      </c>
      <c r="P29">
        <v>33.619999999999997</v>
      </c>
      <c r="Q29">
        <v>97.59</v>
      </c>
      <c r="S29">
        <v>1</v>
      </c>
      <c r="U29" t="s">
        <v>395</v>
      </c>
      <c r="V29" t="s">
        <v>396</v>
      </c>
    </row>
    <row r="30" spans="1:22" x14ac:dyDescent="0.3">
      <c r="A30">
        <v>28</v>
      </c>
      <c r="B30" t="str">
        <f>HYPERLINK("https://imapinvasives.natureserve.org/imap/services/page/Presence/1441235.html", "View")</f>
        <v>View</v>
      </c>
      <c r="C30" t="s">
        <v>96</v>
      </c>
      <c r="D30">
        <v>1441235</v>
      </c>
      <c r="E30">
        <v>1455690</v>
      </c>
      <c r="F30" t="str">
        <f>HYPERLINK("http://imap3images.s3-website-us-east-1.amazonaws.com/1455690/p/imap_app_photo_1723835817003.jpg", "View")</f>
        <v>View</v>
      </c>
      <c r="G30" t="s">
        <v>97</v>
      </c>
      <c r="H30" t="s">
        <v>22</v>
      </c>
      <c r="I30" t="s">
        <v>23</v>
      </c>
      <c r="J30">
        <v>82342</v>
      </c>
      <c r="K30" t="str">
        <f t="shared" si="0"/>
        <v>View</v>
      </c>
      <c r="L30" t="s">
        <v>24</v>
      </c>
      <c r="M30" t="s">
        <v>22</v>
      </c>
      <c r="N30" t="s">
        <v>25</v>
      </c>
      <c r="O30">
        <v>82342</v>
      </c>
      <c r="P30">
        <v>1.65</v>
      </c>
      <c r="Q30">
        <v>80.209999999999994</v>
      </c>
      <c r="S30">
        <v>1</v>
      </c>
      <c r="U30" t="s">
        <v>395</v>
      </c>
      <c r="V30" t="s">
        <v>396</v>
      </c>
    </row>
    <row r="31" spans="1:22" x14ac:dyDescent="0.3">
      <c r="A31">
        <v>29</v>
      </c>
      <c r="B31" t="str">
        <f>HYPERLINK("https://imapinvasives.natureserve.org/imap/services/page/Presence/1412602.html", "View")</f>
        <v>View</v>
      </c>
      <c r="C31" t="s">
        <v>98</v>
      </c>
      <c r="D31">
        <v>1412602</v>
      </c>
      <c r="E31">
        <v>1425355</v>
      </c>
      <c r="F31" t="str">
        <f>HYPERLINK("http://imap3images.s3-website-us-east-1.amazonaws.com/1425355/p/imap_app_photo_1719256242692.jpg", "View")</f>
        <v>View</v>
      </c>
      <c r="G31" t="s">
        <v>99</v>
      </c>
      <c r="H31" t="s">
        <v>22</v>
      </c>
      <c r="I31" t="s">
        <v>23</v>
      </c>
      <c r="J31">
        <v>82342</v>
      </c>
      <c r="K31" t="str">
        <f t="shared" si="0"/>
        <v>View</v>
      </c>
      <c r="L31" t="s">
        <v>24</v>
      </c>
      <c r="M31" t="s">
        <v>22</v>
      </c>
      <c r="N31" t="s">
        <v>25</v>
      </c>
      <c r="O31">
        <v>82342</v>
      </c>
      <c r="P31">
        <v>33.619999999999997</v>
      </c>
      <c r="Q31">
        <v>75.760000000000005</v>
      </c>
      <c r="S31">
        <v>1</v>
      </c>
      <c r="U31" t="s">
        <v>395</v>
      </c>
      <c r="V31" t="s">
        <v>396</v>
      </c>
    </row>
    <row r="32" spans="1:22" x14ac:dyDescent="0.3">
      <c r="A32">
        <v>30</v>
      </c>
      <c r="B32" t="str">
        <f>HYPERLINK("https://imapinvasives.natureserve.org/imap/services/page/Presence/1411914.html", "View")</f>
        <v>View</v>
      </c>
      <c r="C32" t="s">
        <v>100</v>
      </c>
      <c r="D32">
        <v>1411914</v>
      </c>
      <c r="E32">
        <v>1424590</v>
      </c>
      <c r="F32" t="str">
        <f>HYPERLINK("http://imap3images.s3-website-us-east-1.amazonaws.com/1424590/p/imap_app_photo_1718572006044.jpg", "View")</f>
        <v>View</v>
      </c>
      <c r="G32" t="s">
        <v>101</v>
      </c>
      <c r="H32" t="s">
        <v>22</v>
      </c>
      <c r="I32" t="s">
        <v>23</v>
      </c>
      <c r="J32">
        <v>82342</v>
      </c>
      <c r="K32" t="str">
        <f t="shared" si="0"/>
        <v>View</v>
      </c>
      <c r="L32" t="s">
        <v>24</v>
      </c>
      <c r="M32" t="s">
        <v>22</v>
      </c>
      <c r="N32" t="s">
        <v>25</v>
      </c>
      <c r="O32">
        <v>82342</v>
      </c>
      <c r="P32">
        <v>35.630000000000003</v>
      </c>
      <c r="Q32">
        <v>56.04</v>
      </c>
      <c r="S32">
        <v>1</v>
      </c>
      <c r="U32" t="s">
        <v>395</v>
      </c>
      <c r="V32" t="s">
        <v>396</v>
      </c>
    </row>
    <row r="33" spans="1:22" x14ac:dyDescent="0.3">
      <c r="A33">
        <v>31</v>
      </c>
      <c r="B33" t="str">
        <f>HYPERLINK("https://imapinvasives.natureserve.org/imap/services/page/Presence/1410947.html", "View")</f>
        <v>View</v>
      </c>
      <c r="C33" t="s">
        <v>102</v>
      </c>
      <c r="D33">
        <v>1410947</v>
      </c>
      <c r="E33">
        <v>1423487</v>
      </c>
      <c r="F33" t="str">
        <f>HYPERLINK("http://imap3images.s3-website-us-east-1.amazonaws.com/1423487/p/imap_app_photo_1718054280927.jpg", "View")</f>
        <v>View</v>
      </c>
      <c r="G33" t="s">
        <v>103</v>
      </c>
      <c r="H33" t="s">
        <v>22</v>
      </c>
      <c r="I33" t="s">
        <v>23</v>
      </c>
      <c r="J33">
        <v>82342</v>
      </c>
      <c r="K33" t="str">
        <f t="shared" si="0"/>
        <v>View</v>
      </c>
      <c r="L33" t="s">
        <v>24</v>
      </c>
      <c r="M33" t="s">
        <v>22</v>
      </c>
      <c r="N33" t="s">
        <v>25</v>
      </c>
      <c r="O33">
        <v>82342</v>
      </c>
      <c r="P33">
        <v>35.630000000000003</v>
      </c>
      <c r="Q33">
        <v>98.42</v>
      </c>
      <c r="S33">
        <v>1</v>
      </c>
      <c r="U33" t="s">
        <v>395</v>
      </c>
      <c r="V33" t="s">
        <v>396</v>
      </c>
    </row>
    <row r="34" spans="1:22" x14ac:dyDescent="0.3">
      <c r="A34">
        <v>32</v>
      </c>
      <c r="B34" t="str">
        <f>HYPERLINK("https://imapinvasives.natureserve.org/imap/services/page/Presence/1410804.html", "View")</f>
        <v>View</v>
      </c>
      <c r="C34" t="s">
        <v>104</v>
      </c>
      <c r="D34">
        <v>1410804</v>
      </c>
      <c r="E34">
        <v>1423344</v>
      </c>
      <c r="F34" t="str">
        <f>HYPERLINK("http://imap3images.s3-website-us-east-1.amazonaws.com/1423344/p/imap_app_photo_1717805413475.jpg", "View")</f>
        <v>View</v>
      </c>
      <c r="G34" t="s">
        <v>105</v>
      </c>
      <c r="H34" t="s">
        <v>22</v>
      </c>
      <c r="I34" t="s">
        <v>23</v>
      </c>
      <c r="J34">
        <v>82342</v>
      </c>
      <c r="K34" t="str">
        <f t="shared" si="0"/>
        <v>View</v>
      </c>
      <c r="L34" t="s">
        <v>24</v>
      </c>
      <c r="M34" t="s">
        <v>22</v>
      </c>
      <c r="N34" t="s">
        <v>25</v>
      </c>
      <c r="O34">
        <v>82342</v>
      </c>
      <c r="P34">
        <v>14.27</v>
      </c>
      <c r="Q34">
        <v>97.91</v>
      </c>
      <c r="S34">
        <v>1</v>
      </c>
      <c r="U34" t="s">
        <v>395</v>
      </c>
      <c r="V34" t="s">
        <v>396</v>
      </c>
    </row>
    <row r="35" spans="1:22" x14ac:dyDescent="0.3">
      <c r="A35">
        <v>33</v>
      </c>
      <c r="B35" t="str">
        <f>HYPERLINK("https://imapinvasives.natureserve.org/imap/services/page/Presence/1410799.html", "View")</f>
        <v>View</v>
      </c>
      <c r="C35" t="s">
        <v>106</v>
      </c>
      <c r="D35">
        <v>1410799</v>
      </c>
      <c r="E35">
        <v>1423339</v>
      </c>
      <c r="F35" t="str">
        <f>HYPERLINK("http://imap3images.s3-website-us-east-1.amazonaws.com/1423339/p/imap_app_photo_1717805397476.jpg", "View")</f>
        <v>View</v>
      </c>
      <c r="G35" t="s">
        <v>107</v>
      </c>
      <c r="H35" t="s">
        <v>22</v>
      </c>
      <c r="I35" t="s">
        <v>23</v>
      </c>
      <c r="J35">
        <v>82342</v>
      </c>
      <c r="K35" t="str">
        <f t="shared" si="0"/>
        <v>View</v>
      </c>
      <c r="L35" t="s">
        <v>24</v>
      </c>
      <c r="M35" t="s">
        <v>22</v>
      </c>
      <c r="N35" t="s">
        <v>25</v>
      </c>
      <c r="O35">
        <v>82342</v>
      </c>
      <c r="P35">
        <v>14.27</v>
      </c>
      <c r="Q35">
        <v>59.67</v>
      </c>
      <c r="S35">
        <v>1</v>
      </c>
      <c r="U35" t="s">
        <v>395</v>
      </c>
      <c r="V35" t="s">
        <v>396</v>
      </c>
    </row>
    <row r="36" spans="1:22" x14ac:dyDescent="0.3">
      <c r="A36">
        <v>34</v>
      </c>
      <c r="B36" t="str">
        <f>HYPERLINK("https://imapinvasives.natureserve.org/imap/services/page/Presence/1410798.html", "View")</f>
        <v>View</v>
      </c>
      <c r="C36" t="s">
        <v>108</v>
      </c>
      <c r="D36">
        <v>1410798</v>
      </c>
      <c r="E36">
        <v>1423338</v>
      </c>
      <c r="F36" t="str">
        <f>HYPERLINK("http://imap3images.s3-website-us-east-1.amazonaws.com/1423338/p/imap_app_photo_1717805394195.jpg", "View")</f>
        <v>View</v>
      </c>
      <c r="G36" t="s">
        <v>109</v>
      </c>
      <c r="H36" t="s">
        <v>22</v>
      </c>
      <c r="I36" t="s">
        <v>23</v>
      </c>
      <c r="J36">
        <v>82342</v>
      </c>
      <c r="K36" t="str">
        <f t="shared" si="0"/>
        <v>View</v>
      </c>
      <c r="L36" t="s">
        <v>24</v>
      </c>
      <c r="M36" t="s">
        <v>22</v>
      </c>
      <c r="N36" t="s">
        <v>25</v>
      </c>
      <c r="O36">
        <v>82342</v>
      </c>
      <c r="P36">
        <v>14.27</v>
      </c>
      <c r="Q36">
        <v>28.84</v>
      </c>
      <c r="S36">
        <v>1</v>
      </c>
      <c r="U36" t="s">
        <v>395</v>
      </c>
      <c r="V36" t="s">
        <v>396</v>
      </c>
    </row>
    <row r="37" spans="1:22" x14ac:dyDescent="0.3">
      <c r="A37">
        <v>35</v>
      </c>
      <c r="B37" t="str">
        <f>HYPERLINK("https://imapinvasives.natureserve.org/imap/services/page/Presence/1410789.html", "View")</f>
        <v>View</v>
      </c>
      <c r="C37" t="s">
        <v>110</v>
      </c>
      <c r="D37">
        <v>1410789</v>
      </c>
      <c r="E37">
        <v>1423329</v>
      </c>
      <c r="F37" t="str">
        <f>HYPERLINK("http://imap3images.s3-website-us-east-1.amazonaws.com/1423329/p/imap_app_photo_1717805355262.jpg", "View")</f>
        <v>View</v>
      </c>
      <c r="G37" t="s">
        <v>111</v>
      </c>
      <c r="H37" t="s">
        <v>22</v>
      </c>
      <c r="I37" t="s">
        <v>23</v>
      </c>
      <c r="J37">
        <v>82342</v>
      </c>
      <c r="K37" t="str">
        <f t="shared" si="0"/>
        <v>View</v>
      </c>
      <c r="L37" t="s">
        <v>24</v>
      </c>
      <c r="M37" t="s">
        <v>22</v>
      </c>
      <c r="N37" t="s">
        <v>25</v>
      </c>
      <c r="O37">
        <v>82342</v>
      </c>
      <c r="P37">
        <v>14.27</v>
      </c>
      <c r="Q37">
        <v>64.760000000000005</v>
      </c>
      <c r="S37">
        <v>1</v>
      </c>
      <c r="U37" t="s">
        <v>395</v>
      </c>
      <c r="V37" t="s">
        <v>396</v>
      </c>
    </row>
    <row r="38" spans="1:22" x14ac:dyDescent="0.3">
      <c r="A38">
        <v>36</v>
      </c>
      <c r="B38" t="str">
        <f>HYPERLINK("https://imapinvasives.natureserve.org/imap/services/page/Presence/1395141.html", "View")</f>
        <v>View</v>
      </c>
      <c r="C38" t="s">
        <v>112</v>
      </c>
      <c r="D38">
        <v>1395141</v>
      </c>
      <c r="E38">
        <v>1413561</v>
      </c>
      <c r="F38" s="3" t="str">
        <f>HYPERLINK("http://imap3images.s3-website-us-east-1.amazonaws.com/1413561/p/IMG_1368.JPG", "View")</f>
        <v>View</v>
      </c>
      <c r="G38" t="s">
        <v>113</v>
      </c>
      <c r="H38" t="s">
        <v>50</v>
      </c>
      <c r="I38" t="s">
        <v>114</v>
      </c>
      <c r="J38">
        <v>77836</v>
      </c>
      <c r="K38" t="str">
        <f>HYPERLINK("https://www.inaturalist.org/taxa/138762-Psoralea-fascicularis", "View")</f>
        <v>View</v>
      </c>
      <c r="L38" t="s">
        <v>115</v>
      </c>
      <c r="M38" t="s">
        <v>116</v>
      </c>
      <c r="N38" t="s">
        <v>117</v>
      </c>
      <c r="O38">
        <v>138762</v>
      </c>
      <c r="P38">
        <v>0</v>
      </c>
      <c r="Q38">
        <v>3.06</v>
      </c>
      <c r="S38">
        <v>0</v>
      </c>
      <c r="U38" t="s">
        <v>399</v>
      </c>
      <c r="V38" t="s">
        <v>403</v>
      </c>
    </row>
    <row r="39" spans="1:22" x14ac:dyDescent="0.3">
      <c r="A39">
        <v>37</v>
      </c>
      <c r="B39" t="str">
        <f>HYPERLINK("https://imapinvasives.natureserve.org/imap/services/page/Presence/1395140.html", "View")</f>
        <v>View</v>
      </c>
      <c r="C39" t="s">
        <v>118</v>
      </c>
      <c r="D39">
        <v>1395140</v>
      </c>
      <c r="E39">
        <v>1413560</v>
      </c>
      <c r="F39" t="str">
        <f>HYPERLINK("http://imap3images.s3-website-us-east-1.amazonaws.com/1413560/p/IMG_1367.JPG", "View")</f>
        <v>View</v>
      </c>
      <c r="G39" t="s">
        <v>119</v>
      </c>
      <c r="H39" t="s">
        <v>50</v>
      </c>
      <c r="I39" t="s">
        <v>114</v>
      </c>
      <c r="J39">
        <v>77836</v>
      </c>
      <c r="K39" t="str">
        <f>HYPERLINK("https://www.inaturalist.org/taxa/43794-Castor-canadensis", "View")</f>
        <v>View</v>
      </c>
      <c r="L39" t="s">
        <v>120</v>
      </c>
      <c r="M39" t="s">
        <v>121</v>
      </c>
      <c r="N39" t="s">
        <v>122</v>
      </c>
      <c r="O39">
        <v>43794</v>
      </c>
      <c r="P39">
        <v>39.909999999999997</v>
      </c>
      <c r="Q39">
        <v>10.3</v>
      </c>
      <c r="S39">
        <v>0</v>
      </c>
      <c r="U39" t="s">
        <v>399</v>
      </c>
      <c r="V39" t="s">
        <v>401</v>
      </c>
    </row>
    <row r="40" spans="1:22" x14ac:dyDescent="0.3">
      <c r="A40">
        <v>38</v>
      </c>
      <c r="B40" t="str">
        <f>HYPERLINK("https://imapinvasives.natureserve.org/imap/services/page/Presence/1365095.html", "View")</f>
        <v>View</v>
      </c>
      <c r="C40" t="s">
        <v>123</v>
      </c>
      <c r="D40">
        <v>1365095</v>
      </c>
      <c r="E40">
        <v>1383039</v>
      </c>
      <c r="F40" t="str">
        <f>HYPERLINK("http://imap3images.s3-website-us-east-1.amazonaws.com/1383039/p/Photo_1.jpg", "View")</f>
        <v>View</v>
      </c>
      <c r="G40" t="s">
        <v>124</v>
      </c>
      <c r="H40" t="s">
        <v>125</v>
      </c>
      <c r="I40" t="s">
        <v>126</v>
      </c>
      <c r="J40">
        <v>170851</v>
      </c>
      <c r="K40" t="str">
        <f>HYPERLINK("https://www.inaturalist.org/taxa/59773-Lonicera-morrowii", "View")</f>
        <v>View</v>
      </c>
      <c r="L40" t="s">
        <v>30</v>
      </c>
      <c r="M40" t="s">
        <v>31</v>
      </c>
      <c r="N40" t="s">
        <v>32</v>
      </c>
      <c r="O40">
        <v>59773</v>
      </c>
      <c r="P40">
        <v>31.63</v>
      </c>
      <c r="Q40">
        <v>39.799999999999997</v>
      </c>
      <c r="S40">
        <v>1</v>
      </c>
      <c r="U40" t="s">
        <v>395</v>
      </c>
      <c r="V40" t="s">
        <v>402</v>
      </c>
    </row>
    <row r="41" spans="1:22" x14ac:dyDescent="0.3">
      <c r="A41">
        <v>39</v>
      </c>
      <c r="B41" t="str">
        <f>HYPERLINK("https://imapinvasives.natureserve.org/imap/services/page/Presence/1362844.html", "View")</f>
        <v>View</v>
      </c>
      <c r="C41" t="s">
        <v>127</v>
      </c>
      <c r="D41">
        <v>1362844</v>
      </c>
      <c r="E41">
        <v>1380597</v>
      </c>
      <c r="F41" t="str">
        <f>HYPERLINK("http://imap3images.s3-website-us-east-1.amazonaws.com/1380597/p/Photo_1.jpg", "View")</f>
        <v>View</v>
      </c>
      <c r="G41" t="s">
        <v>128</v>
      </c>
      <c r="H41" t="s">
        <v>125</v>
      </c>
      <c r="I41" t="s">
        <v>126</v>
      </c>
      <c r="J41">
        <v>170851</v>
      </c>
      <c r="K41" t="str">
        <f>HYPERLINK("https://www.inaturalist.org/taxa/77836-Lonicera-tatarica", "View")</f>
        <v>View</v>
      </c>
      <c r="L41" t="s">
        <v>49</v>
      </c>
      <c r="M41" t="s">
        <v>50</v>
      </c>
      <c r="N41" t="s">
        <v>51</v>
      </c>
      <c r="O41">
        <v>77836</v>
      </c>
      <c r="P41">
        <v>10.46</v>
      </c>
      <c r="Q41">
        <v>50.85</v>
      </c>
      <c r="S41">
        <v>1</v>
      </c>
      <c r="U41" t="s">
        <v>395</v>
      </c>
      <c r="V41" t="s">
        <v>396</v>
      </c>
    </row>
    <row r="42" spans="1:22" x14ac:dyDescent="0.3">
      <c r="A42">
        <v>40</v>
      </c>
      <c r="B42" t="str">
        <f>HYPERLINK("https://imapinvasives.natureserve.org/imap/services/page/Presence/1361634.html", "View")</f>
        <v>View</v>
      </c>
      <c r="C42" t="s">
        <v>129</v>
      </c>
      <c r="D42">
        <v>1361634</v>
      </c>
      <c r="E42">
        <v>1379277</v>
      </c>
      <c r="F42" t="str">
        <f>HYPERLINK("http://imap3images.s3-website-us-east-1.amazonaws.com/1379277/p/2023-10-21_(3).jpg", "View")</f>
        <v>View</v>
      </c>
      <c r="G42" t="s">
        <v>130</v>
      </c>
      <c r="H42" t="s">
        <v>22</v>
      </c>
      <c r="I42" t="s">
        <v>23</v>
      </c>
      <c r="J42">
        <v>82342</v>
      </c>
      <c r="K42" t="str">
        <f>HYPERLINK("https://www.inaturalist.org/taxa/82342-Lonicera-maackii", "View")</f>
        <v>View</v>
      </c>
      <c r="L42" t="s">
        <v>24</v>
      </c>
      <c r="M42" t="s">
        <v>22</v>
      </c>
      <c r="N42" t="s">
        <v>25</v>
      </c>
      <c r="O42">
        <v>82342</v>
      </c>
      <c r="P42">
        <v>3.2</v>
      </c>
      <c r="Q42">
        <v>95.57</v>
      </c>
      <c r="S42">
        <v>1</v>
      </c>
      <c r="U42" t="s">
        <v>395</v>
      </c>
      <c r="V42" t="s">
        <v>396</v>
      </c>
    </row>
    <row r="43" spans="1:22" x14ac:dyDescent="0.3">
      <c r="A43">
        <v>41</v>
      </c>
      <c r="B43" t="str">
        <f>HYPERLINK("https://imapinvasives.natureserve.org/imap/services/page/Presence/1355782.html", "View")</f>
        <v>View</v>
      </c>
      <c r="C43" t="s">
        <v>131</v>
      </c>
      <c r="D43">
        <v>1355782</v>
      </c>
      <c r="E43">
        <v>1373415</v>
      </c>
      <c r="F43" t="str">
        <f>HYPERLINK("http://imap3images.s3-website-us-east-1.amazonaws.com/1373415/p/2023-10-04_(21)_imap_Buttermilk.JPG", "View")</f>
        <v>View</v>
      </c>
      <c r="G43" t="s">
        <v>132</v>
      </c>
      <c r="H43" t="s">
        <v>22</v>
      </c>
      <c r="I43" t="s">
        <v>23</v>
      </c>
      <c r="J43">
        <v>82342</v>
      </c>
      <c r="K43" t="str">
        <f>HYPERLINK("https://www.inaturalist.org/taxa/82342-Lonicera-maackii", "View")</f>
        <v>View</v>
      </c>
      <c r="L43" t="s">
        <v>24</v>
      </c>
      <c r="M43" t="s">
        <v>22</v>
      </c>
      <c r="N43" t="s">
        <v>25</v>
      </c>
      <c r="O43">
        <v>82342</v>
      </c>
      <c r="P43">
        <v>3.2</v>
      </c>
      <c r="Q43">
        <v>83.83</v>
      </c>
      <c r="S43">
        <v>1</v>
      </c>
      <c r="U43" t="s">
        <v>395</v>
      </c>
      <c r="V43" t="s">
        <v>396</v>
      </c>
    </row>
    <row r="44" spans="1:22" x14ac:dyDescent="0.3">
      <c r="A44">
        <v>42</v>
      </c>
      <c r="B44" t="str">
        <f>HYPERLINK("https://imapinvasives.natureserve.org/imap/services/page/Presence/1355769.html", "View")</f>
        <v>View</v>
      </c>
      <c r="C44" t="s">
        <v>133</v>
      </c>
      <c r="D44">
        <v>1355769</v>
      </c>
      <c r="E44">
        <v>1373402</v>
      </c>
      <c r="F44" t="str">
        <f>HYPERLINK("http://imap3images.s3-website-us-east-1.amazonaws.com/1373402/p/2023-09-29_(8).JPG", "View")</f>
        <v>View</v>
      </c>
      <c r="G44" t="s">
        <v>134</v>
      </c>
      <c r="H44" t="s">
        <v>22</v>
      </c>
      <c r="I44" t="s">
        <v>23</v>
      </c>
      <c r="J44">
        <v>82342</v>
      </c>
      <c r="K44" t="str">
        <f>HYPERLINK("https://www.inaturalist.org/taxa/82342-Lonicera-maackii", "View")</f>
        <v>View</v>
      </c>
      <c r="L44" t="s">
        <v>24</v>
      </c>
      <c r="M44" t="s">
        <v>22</v>
      </c>
      <c r="N44" t="s">
        <v>25</v>
      </c>
      <c r="O44">
        <v>82342</v>
      </c>
      <c r="P44">
        <v>3.2</v>
      </c>
      <c r="Q44">
        <v>47.81</v>
      </c>
      <c r="S44">
        <v>1</v>
      </c>
      <c r="U44" t="s">
        <v>395</v>
      </c>
      <c r="V44" t="s">
        <v>396</v>
      </c>
    </row>
    <row r="45" spans="1:22" x14ac:dyDescent="0.3">
      <c r="A45">
        <v>43</v>
      </c>
      <c r="B45" t="str">
        <f>HYPERLINK("https://imapinvasives.natureserve.org/imap/services/page/Presence/1354075.html", "View")</f>
        <v>View</v>
      </c>
      <c r="C45" t="s">
        <v>135</v>
      </c>
      <c r="D45">
        <v>1354075</v>
      </c>
      <c r="E45">
        <v>1371502</v>
      </c>
      <c r="F45" s="3" t="str">
        <f>HYPERLINK("http://imap3images.s3-website-us-east-1.amazonaws.com/1371502/p/2023-09-13_(310).JPG", "View")</f>
        <v>View</v>
      </c>
      <c r="G45" t="s">
        <v>136</v>
      </c>
      <c r="H45" t="s">
        <v>22</v>
      </c>
      <c r="I45" t="s">
        <v>23</v>
      </c>
      <c r="J45">
        <v>82342</v>
      </c>
      <c r="K45" t="str">
        <f>HYPERLINK("https://www.inaturalist.org/taxa/82342-Lonicera-maackii", "View")</f>
        <v>View</v>
      </c>
      <c r="L45" t="s">
        <v>24</v>
      </c>
      <c r="M45" t="s">
        <v>22</v>
      </c>
      <c r="N45" t="s">
        <v>25</v>
      </c>
      <c r="O45">
        <v>82342</v>
      </c>
      <c r="P45">
        <v>3.2</v>
      </c>
      <c r="Q45">
        <v>69.14</v>
      </c>
      <c r="S45">
        <v>1</v>
      </c>
      <c r="U45" t="s">
        <v>395</v>
      </c>
      <c r="V45" t="s">
        <v>396</v>
      </c>
    </row>
    <row r="46" spans="1:22" x14ac:dyDescent="0.3">
      <c r="A46">
        <v>44</v>
      </c>
      <c r="B46" t="str">
        <f>HYPERLINK("https://imapinvasives.natureserve.org/imap/services/page/Presence/1352651.html", "View")</f>
        <v>View</v>
      </c>
      <c r="C46" t="s">
        <v>137</v>
      </c>
      <c r="D46">
        <v>1352651</v>
      </c>
      <c r="E46">
        <v>1370030</v>
      </c>
      <c r="F46" t="str">
        <f>HYPERLINK("http://imap3images.s3-website-us-east-1.amazonaws.com/1370030/p/2023-09-08_(17).JPG", "View")</f>
        <v>View</v>
      </c>
      <c r="G46" t="s">
        <v>138</v>
      </c>
      <c r="H46" t="s">
        <v>22</v>
      </c>
      <c r="I46" t="s">
        <v>23</v>
      </c>
      <c r="J46">
        <v>82342</v>
      </c>
      <c r="K46" t="str">
        <f>HYPERLINK("https://www.inaturalist.org/taxa/82342-Lonicera-maackii", "View")</f>
        <v>View</v>
      </c>
      <c r="L46" t="s">
        <v>24</v>
      </c>
      <c r="M46" t="s">
        <v>22</v>
      </c>
      <c r="N46" t="s">
        <v>25</v>
      </c>
      <c r="O46">
        <v>82342</v>
      </c>
      <c r="P46">
        <v>10.41</v>
      </c>
      <c r="Q46">
        <v>98.97</v>
      </c>
      <c r="S46">
        <v>1</v>
      </c>
      <c r="U46" t="s">
        <v>395</v>
      </c>
      <c r="V46" t="s">
        <v>396</v>
      </c>
    </row>
    <row r="47" spans="1:22" x14ac:dyDescent="0.3">
      <c r="A47">
        <v>45</v>
      </c>
      <c r="B47" t="str">
        <f>HYPERLINK("https://imapinvasives.natureserve.org/imap/services/page/Presence/1349363.html", "View")</f>
        <v>View</v>
      </c>
      <c r="C47" t="s">
        <v>139</v>
      </c>
      <c r="D47">
        <v>1349363</v>
      </c>
      <c r="E47">
        <v>1366284</v>
      </c>
      <c r="F47" t="str">
        <f>HYPERLINK("http://imap3images.s3-website-us-east-1.amazonaws.com/1366284/p/Photo_2.jpg", "View")</f>
        <v>View</v>
      </c>
      <c r="G47" t="s">
        <v>140</v>
      </c>
      <c r="H47" t="s">
        <v>22</v>
      </c>
      <c r="I47" t="s">
        <v>23</v>
      </c>
      <c r="J47">
        <v>82342</v>
      </c>
      <c r="K47" t="str">
        <f>HYPERLINK("https://www.inaturalist.org/taxa/59773-Lonicera-morrowii", "View")</f>
        <v>View</v>
      </c>
      <c r="L47" t="s">
        <v>30</v>
      </c>
      <c r="M47" t="s">
        <v>31</v>
      </c>
      <c r="N47" t="s">
        <v>32</v>
      </c>
      <c r="O47">
        <v>59773</v>
      </c>
      <c r="P47">
        <v>30.4</v>
      </c>
      <c r="Q47">
        <v>99.5</v>
      </c>
      <c r="S47">
        <v>1</v>
      </c>
      <c r="U47" t="s">
        <v>395</v>
      </c>
      <c r="V47" t="s">
        <v>396</v>
      </c>
    </row>
    <row r="48" spans="1:22" x14ac:dyDescent="0.3">
      <c r="A48">
        <v>46</v>
      </c>
      <c r="B48" t="str">
        <f>HYPERLINK("https://imapinvasives.natureserve.org/imap/services/page/Presence/1337568.html", "View")</f>
        <v>View</v>
      </c>
      <c r="C48" t="s">
        <v>141</v>
      </c>
      <c r="D48">
        <v>1337568</v>
      </c>
      <c r="E48">
        <v>1352106</v>
      </c>
      <c r="F48" t="str">
        <f>HYPERLINK("http://imap3images.s3-website-us-east-1.amazonaws.com/1352106/p/Photo3-20230628-231053.jpg", "View")</f>
        <v>View</v>
      </c>
      <c r="G48" t="s">
        <v>142</v>
      </c>
      <c r="H48" t="s">
        <v>22</v>
      </c>
      <c r="I48" t="s">
        <v>23</v>
      </c>
      <c r="J48">
        <v>82342</v>
      </c>
      <c r="K48" t="str">
        <f>HYPERLINK("https://www.inaturalist.org/taxa/82342-Lonicera-maackii", "View")</f>
        <v>View</v>
      </c>
      <c r="L48" t="s">
        <v>24</v>
      </c>
      <c r="M48" t="s">
        <v>22</v>
      </c>
      <c r="N48" t="s">
        <v>25</v>
      </c>
      <c r="O48">
        <v>82342</v>
      </c>
      <c r="P48">
        <v>14.27</v>
      </c>
      <c r="Q48">
        <v>2.57</v>
      </c>
      <c r="S48">
        <v>1</v>
      </c>
      <c r="U48" t="s">
        <v>395</v>
      </c>
      <c r="V48" t="s">
        <v>402</v>
      </c>
    </row>
    <row r="49" spans="1:22" x14ac:dyDescent="0.3">
      <c r="A49">
        <v>47</v>
      </c>
      <c r="B49" t="str">
        <f>HYPERLINK("https://imapinvasives.natureserve.org/imap/services/page/Presence/1334732.html", "View")</f>
        <v>View</v>
      </c>
      <c r="C49" t="s">
        <v>143</v>
      </c>
      <c r="D49">
        <v>1334732</v>
      </c>
      <c r="E49">
        <v>1348911</v>
      </c>
      <c r="F49" t="str">
        <f>HYPERLINK("http://imap3images.s3-website-us-east-1.amazonaws.com/1348911/p/Photo2-20230605-195531.jpg", "View")</f>
        <v>View</v>
      </c>
      <c r="G49" t="s">
        <v>144</v>
      </c>
      <c r="H49" t="s">
        <v>22</v>
      </c>
      <c r="I49" t="s">
        <v>23</v>
      </c>
      <c r="J49">
        <v>82342</v>
      </c>
      <c r="K49" t="str">
        <f>HYPERLINK("https://www.inaturalist.org/taxa/279321-Struthanthus-interruptus", "View")</f>
        <v>View</v>
      </c>
      <c r="L49" t="s">
        <v>145</v>
      </c>
      <c r="M49" t="s">
        <v>146</v>
      </c>
      <c r="N49" t="s">
        <v>147</v>
      </c>
      <c r="O49">
        <v>279321</v>
      </c>
      <c r="P49">
        <v>0</v>
      </c>
      <c r="Q49">
        <v>10.050000000000001</v>
      </c>
      <c r="S49">
        <v>0</v>
      </c>
      <c r="U49" t="s">
        <v>397</v>
      </c>
      <c r="V49" t="s">
        <v>402</v>
      </c>
    </row>
    <row r="50" spans="1:22" x14ac:dyDescent="0.3">
      <c r="A50">
        <v>48</v>
      </c>
      <c r="B50" t="str">
        <f>HYPERLINK("https://imapinvasives.natureserve.org/imap/services/page/Presence/1330885.html", "View")</f>
        <v>View</v>
      </c>
      <c r="C50" t="s">
        <v>148</v>
      </c>
      <c r="D50">
        <v>1330885</v>
      </c>
      <c r="E50">
        <v>1344365</v>
      </c>
      <c r="F50" t="str">
        <f>HYPERLINK("http://imap3images.s3-website-us-east-1.amazonaws.com/1344365/p/imap_app_photo_1684450307277.jpg", "View")</f>
        <v>View</v>
      </c>
      <c r="G50" t="s">
        <v>149</v>
      </c>
      <c r="H50" t="s">
        <v>22</v>
      </c>
      <c r="I50" t="s">
        <v>23</v>
      </c>
      <c r="J50">
        <v>82342</v>
      </c>
      <c r="K50" t="str">
        <f>HYPERLINK("https://www.inaturalist.org/taxa/82342-Lonicera-maackii", "View")</f>
        <v>View</v>
      </c>
      <c r="L50" t="s">
        <v>24</v>
      </c>
      <c r="M50" t="s">
        <v>22</v>
      </c>
      <c r="N50" t="s">
        <v>25</v>
      </c>
      <c r="O50">
        <v>82342</v>
      </c>
      <c r="P50">
        <v>33.619999999999997</v>
      </c>
      <c r="Q50">
        <v>95.68</v>
      </c>
      <c r="S50">
        <v>1</v>
      </c>
      <c r="U50" t="s">
        <v>395</v>
      </c>
      <c r="V50" t="s">
        <v>396</v>
      </c>
    </row>
    <row r="51" spans="1:22" x14ac:dyDescent="0.3">
      <c r="A51">
        <v>49</v>
      </c>
      <c r="B51" t="str">
        <f>HYPERLINK("https://imapinvasives.natureserve.org/imap/services/page/Presence/1324052.html", "View")</f>
        <v>View</v>
      </c>
      <c r="C51" t="s">
        <v>150</v>
      </c>
      <c r="D51">
        <v>1324052</v>
      </c>
      <c r="E51">
        <v>1336743</v>
      </c>
      <c r="F51" t="str">
        <f>HYPERLINK("http://imap3images.s3-website-us-east-1.amazonaws.com/1336743/p/Photo_1.jpg", "View")</f>
        <v>View</v>
      </c>
      <c r="G51" t="s">
        <v>151</v>
      </c>
      <c r="H51" t="s">
        <v>22</v>
      </c>
      <c r="I51" t="s">
        <v>23</v>
      </c>
      <c r="J51" t="s">
        <v>152</v>
      </c>
      <c r="K51" t="str">
        <f>HYPERLINK("https://www.inaturalist.org/taxa/77836-Lonicera-tatarica", "View")</f>
        <v>View</v>
      </c>
      <c r="L51" t="s">
        <v>49</v>
      </c>
      <c r="M51" t="s">
        <v>50</v>
      </c>
      <c r="N51" t="s">
        <v>51</v>
      </c>
      <c r="O51" t="s">
        <v>153</v>
      </c>
      <c r="P51">
        <v>10.51</v>
      </c>
      <c r="Q51">
        <v>62.27</v>
      </c>
      <c r="S51">
        <v>1</v>
      </c>
      <c r="U51" t="s">
        <v>395</v>
      </c>
      <c r="V51" t="s">
        <v>400</v>
      </c>
    </row>
    <row r="52" spans="1:22" x14ac:dyDescent="0.3">
      <c r="A52">
        <v>50</v>
      </c>
      <c r="B52" t="str">
        <f>HYPERLINK("https://imapinvasives.natureserve.org/imap/services/page/Presence/1316661.html", "View")</f>
        <v>View</v>
      </c>
      <c r="C52" t="s">
        <v>155</v>
      </c>
      <c r="D52">
        <v>1316661</v>
      </c>
      <c r="E52">
        <v>1327712</v>
      </c>
      <c r="F52" t="str">
        <f>HYPERLINK("http://imap3images.s3-website-us-east-1.amazonaws.com/1327712/p/2022-05-26_(440).JPG", "View")</f>
        <v>View</v>
      </c>
      <c r="G52" t="s">
        <v>156</v>
      </c>
      <c r="H52" t="s">
        <v>56</v>
      </c>
      <c r="I52" t="s">
        <v>57</v>
      </c>
      <c r="J52" t="s">
        <v>157</v>
      </c>
      <c r="K52" t="str">
        <f>HYPERLINK("https://www.inaturalist.org/taxa/124548-Lonicera-xylosteum", "View")</f>
        <v>View</v>
      </c>
      <c r="L52" t="s">
        <v>58</v>
      </c>
      <c r="M52" t="s">
        <v>56</v>
      </c>
      <c r="N52" t="s">
        <v>59</v>
      </c>
      <c r="O52" t="s">
        <v>157</v>
      </c>
      <c r="P52">
        <v>2.31</v>
      </c>
      <c r="Q52">
        <v>44.72</v>
      </c>
      <c r="S52">
        <v>1</v>
      </c>
      <c r="U52" t="s">
        <v>395</v>
      </c>
      <c r="V52" t="s">
        <v>396</v>
      </c>
    </row>
    <row r="53" spans="1:22" x14ac:dyDescent="0.3">
      <c r="A53">
        <v>51</v>
      </c>
      <c r="B53" t="str">
        <f>HYPERLINK("https://imapinvasives.natureserve.org/imap/services/page/Presence/1305206.html", "View")</f>
        <v>View</v>
      </c>
      <c r="C53" t="s">
        <v>158</v>
      </c>
      <c r="D53">
        <v>1305206</v>
      </c>
      <c r="E53">
        <v>1315632</v>
      </c>
      <c r="F53" t="str">
        <f>HYPERLINK("http://imap3images.s3-website-us-east-1.amazonaws.com/1315632/p/2022-11-01_(17).JPG", "View")</f>
        <v>View</v>
      </c>
      <c r="G53" t="s">
        <v>159</v>
      </c>
      <c r="H53" t="s">
        <v>22</v>
      </c>
      <c r="I53" t="s">
        <v>23</v>
      </c>
      <c r="J53" t="s">
        <v>152</v>
      </c>
      <c r="K53" t="str">
        <f>HYPERLINK("https://www.inaturalist.org/taxa/379839-Insolibasidium-deformans", "View")</f>
        <v>View</v>
      </c>
      <c r="L53" t="s">
        <v>160</v>
      </c>
      <c r="M53" t="s">
        <v>161</v>
      </c>
      <c r="N53" t="s">
        <v>162</v>
      </c>
      <c r="O53" t="s">
        <v>163</v>
      </c>
      <c r="P53">
        <v>0.8</v>
      </c>
      <c r="Q53">
        <v>4.71</v>
      </c>
      <c r="S53">
        <v>0</v>
      </c>
      <c r="U53" t="s">
        <v>397</v>
      </c>
      <c r="V53" t="s">
        <v>398</v>
      </c>
    </row>
    <row r="54" spans="1:22" x14ac:dyDescent="0.3">
      <c r="A54">
        <v>52</v>
      </c>
      <c r="B54" t="str">
        <f>HYPERLINK("https://imapinvasives.natureserve.org/imap/services/page/Presence/1297353.html", "View")</f>
        <v>View</v>
      </c>
      <c r="C54" t="s">
        <v>164</v>
      </c>
      <c r="D54">
        <v>1297353</v>
      </c>
      <c r="E54">
        <v>1307589</v>
      </c>
      <c r="F54" t="str">
        <f>HYPERLINK("http://imap3images.s3-website-us-east-1.amazonaws.com/1307589/p/imap_app_photo_1664127633981.jpg", "View")</f>
        <v>View</v>
      </c>
      <c r="G54" t="s">
        <v>165</v>
      </c>
      <c r="H54" t="s">
        <v>22</v>
      </c>
      <c r="I54" t="s">
        <v>23</v>
      </c>
      <c r="J54" t="s">
        <v>152</v>
      </c>
      <c r="K54" t="str">
        <f>HYPERLINK("https://www.inaturalist.org/taxa/82342-Lonicera-maackii", "View")</f>
        <v>View</v>
      </c>
      <c r="L54" t="s">
        <v>24</v>
      </c>
      <c r="M54" t="s">
        <v>22</v>
      </c>
      <c r="N54" t="s">
        <v>25</v>
      </c>
      <c r="O54" t="s">
        <v>152</v>
      </c>
      <c r="P54">
        <v>4.62</v>
      </c>
      <c r="Q54">
        <v>3.17</v>
      </c>
      <c r="S54">
        <v>1</v>
      </c>
      <c r="U54" t="s">
        <v>395</v>
      </c>
      <c r="V54" t="s">
        <v>396</v>
      </c>
    </row>
    <row r="55" spans="1:22" x14ac:dyDescent="0.3">
      <c r="A55">
        <v>53</v>
      </c>
      <c r="B55" t="str">
        <f>HYPERLINK("https://imapinvasives.natureserve.org/imap/services/page/Presence/1286024.html", "View")</f>
        <v>View</v>
      </c>
      <c r="C55" t="s">
        <v>166</v>
      </c>
      <c r="D55">
        <v>1286024</v>
      </c>
      <c r="E55">
        <v>1295747</v>
      </c>
      <c r="F55" t="str">
        <f>HYPERLINK("http://imap3images.s3-website-us-east-1.amazonaws.com/1295747/p/imap_app_photo_1660178549761.jpg", "View")</f>
        <v>View</v>
      </c>
      <c r="G55" t="s">
        <v>167</v>
      </c>
      <c r="H55" t="s">
        <v>125</v>
      </c>
      <c r="I55" t="s">
        <v>126</v>
      </c>
      <c r="J55" t="s">
        <v>168</v>
      </c>
      <c r="K55" t="str">
        <f>HYPERLINK("https://www.inaturalist.org/taxa/53374-Corylus-cornuta", "View")</f>
        <v>View</v>
      </c>
      <c r="L55" t="s">
        <v>169</v>
      </c>
      <c r="M55" t="s">
        <v>170</v>
      </c>
      <c r="N55" t="s">
        <v>171</v>
      </c>
      <c r="O55" t="s">
        <v>172</v>
      </c>
      <c r="P55">
        <v>4.59</v>
      </c>
      <c r="Q55">
        <v>6.8</v>
      </c>
      <c r="S55">
        <v>0</v>
      </c>
      <c r="U55" t="s">
        <v>397</v>
      </c>
      <c r="V55" t="s">
        <v>398</v>
      </c>
    </row>
    <row r="56" spans="1:22" x14ac:dyDescent="0.3">
      <c r="A56">
        <v>54</v>
      </c>
      <c r="B56" t="str">
        <f>HYPERLINK("https://imapinvasives.natureserve.org/imap/services/page/Presence/1285980.html", "View")</f>
        <v>View</v>
      </c>
      <c r="C56" t="s">
        <v>173</v>
      </c>
      <c r="D56">
        <v>1285980</v>
      </c>
      <c r="E56">
        <v>1295703</v>
      </c>
      <c r="F56" t="str">
        <f>HYPERLINK("http://imap3images.s3-website-us-east-1.amazonaws.com/1295703/p/imap_app_photo_1660175538691.jpg", "View")</f>
        <v>View</v>
      </c>
      <c r="G56" t="s">
        <v>174</v>
      </c>
      <c r="H56" t="s">
        <v>50</v>
      </c>
      <c r="I56" t="s">
        <v>114</v>
      </c>
      <c r="J56" t="s">
        <v>153</v>
      </c>
      <c r="K56" t="str">
        <f>HYPERLINK("https://www.inaturalist.org/taxa/77836-Lonicera-tatarica", "View")</f>
        <v>View</v>
      </c>
      <c r="L56" t="s">
        <v>49</v>
      </c>
      <c r="M56" t="s">
        <v>50</v>
      </c>
      <c r="N56" t="s">
        <v>51</v>
      </c>
      <c r="O56" t="s">
        <v>153</v>
      </c>
      <c r="P56">
        <v>1.48</v>
      </c>
      <c r="Q56">
        <v>29.19</v>
      </c>
      <c r="S56">
        <v>1</v>
      </c>
      <c r="U56" t="s">
        <v>395</v>
      </c>
      <c r="V56" t="s">
        <v>400</v>
      </c>
    </row>
    <row r="57" spans="1:22" x14ac:dyDescent="0.3">
      <c r="A57">
        <v>55</v>
      </c>
      <c r="B57" t="str">
        <f>HYPERLINK("https://imapinvasives.natureserve.org/imap/services/page/Presence/1282056.html", "View")</f>
        <v>View</v>
      </c>
      <c r="C57" t="s">
        <v>175</v>
      </c>
      <c r="D57">
        <v>1282056</v>
      </c>
      <c r="E57">
        <v>1291499</v>
      </c>
      <c r="F57" t="str">
        <f>HYPERLINK("http://imap3images.s3-website-us-east-1.amazonaws.com/1291499/p/imap_app_photo_1657574633163.jpg", "View")</f>
        <v>View</v>
      </c>
      <c r="G57" t="s">
        <v>176</v>
      </c>
      <c r="H57" t="s">
        <v>50</v>
      </c>
      <c r="I57" t="s">
        <v>114</v>
      </c>
      <c r="J57" t="s">
        <v>153</v>
      </c>
      <c r="K57" t="str">
        <f>HYPERLINK("https://www.inaturalist.org/taxa/77836-Lonicera-tatarica", "View")</f>
        <v>View</v>
      </c>
      <c r="L57" t="s">
        <v>49</v>
      </c>
      <c r="M57" t="s">
        <v>50</v>
      </c>
      <c r="N57" t="s">
        <v>51</v>
      </c>
      <c r="O57" t="s">
        <v>153</v>
      </c>
      <c r="P57">
        <v>1.48</v>
      </c>
      <c r="Q57">
        <v>2.0499999999999998</v>
      </c>
      <c r="S57">
        <v>1</v>
      </c>
      <c r="U57" t="s">
        <v>395</v>
      </c>
      <c r="V57" t="s">
        <v>402</v>
      </c>
    </row>
    <row r="58" spans="1:22" x14ac:dyDescent="0.3">
      <c r="A58">
        <v>56</v>
      </c>
      <c r="B58" t="str">
        <f>HYPERLINK("https://imapinvasives.natureserve.org/imap/services/page/Presence/1281796.html", "View")</f>
        <v>View</v>
      </c>
      <c r="C58" t="s">
        <v>177</v>
      </c>
      <c r="D58">
        <v>1281796</v>
      </c>
      <c r="E58">
        <v>1291221</v>
      </c>
      <c r="F58" t="str">
        <f>HYPERLINK("http://imap3images.s3-website-us-east-1.amazonaws.com/1291221/p/imap_app_photo_1657310897432.jpg", "View")</f>
        <v>View</v>
      </c>
      <c r="G58" t="s">
        <v>178</v>
      </c>
      <c r="H58" t="s">
        <v>50</v>
      </c>
      <c r="I58" t="s">
        <v>114</v>
      </c>
      <c r="J58" t="s">
        <v>153</v>
      </c>
      <c r="K58" t="str">
        <f>HYPERLINK("https://www.inaturalist.org/taxa/54835-Prunus-virginiana", "View")</f>
        <v>View</v>
      </c>
      <c r="L58" t="s">
        <v>179</v>
      </c>
      <c r="M58" t="s">
        <v>180</v>
      </c>
      <c r="N58" t="s">
        <v>181</v>
      </c>
      <c r="O58" t="s">
        <v>182</v>
      </c>
      <c r="P58">
        <v>16.829999999999998</v>
      </c>
      <c r="Q58">
        <v>25.49</v>
      </c>
      <c r="S58">
        <v>0</v>
      </c>
      <c r="U58" t="s">
        <v>399</v>
      </c>
      <c r="V58" t="s">
        <v>398</v>
      </c>
    </row>
    <row r="59" spans="1:22" x14ac:dyDescent="0.3">
      <c r="A59">
        <v>57</v>
      </c>
      <c r="B59" t="str">
        <f>HYPERLINK("https://imapinvasives.natureserve.org/imap/services/page/Presence/1281794.html", "View")</f>
        <v>View</v>
      </c>
      <c r="C59" t="s">
        <v>183</v>
      </c>
      <c r="D59">
        <v>1281794</v>
      </c>
      <c r="E59">
        <v>1291219</v>
      </c>
      <c r="F59" t="str">
        <f>HYPERLINK("http://imap3images.s3-website-us-east-1.amazonaws.com/1291219/p/imap_app_photo_1657310834094.jpg", "View")</f>
        <v>View</v>
      </c>
      <c r="G59" t="s">
        <v>184</v>
      </c>
      <c r="H59" t="s">
        <v>50</v>
      </c>
      <c r="I59" t="s">
        <v>114</v>
      </c>
      <c r="J59" t="s">
        <v>153</v>
      </c>
      <c r="K59" t="str">
        <f>HYPERLINK("https://www.inaturalist.org/taxa/77836-Lonicera-tatarica", "View")</f>
        <v>View</v>
      </c>
      <c r="L59" t="s">
        <v>49</v>
      </c>
      <c r="M59" t="s">
        <v>50</v>
      </c>
      <c r="N59" t="s">
        <v>51</v>
      </c>
      <c r="O59" t="s">
        <v>153</v>
      </c>
      <c r="P59">
        <v>1.48</v>
      </c>
      <c r="Q59">
        <v>71.45</v>
      </c>
      <c r="S59">
        <v>1</v>
      </c>
      <c r="U59" t="s">
        <v>395</v>
      </c>
      <c r="V59" t="s">
        <v>396</v>
      </c>
    </row>
    <row r="60" spans="1:22" x14ac:dyDescent="0.3">
      <c r="A60">
        <v>58</v>
      </c>
      <c r="B60" t="str">
        <f>HYPERLINK("https://imapinvasives.natureserve.org/imap/services/page/Presence/1281512.html", "View")</f>
        <v>View</v>
      </c>
      <c r="C60" t="s">
        <v>185</v>
      </c>
      <c r="D60">
        <v>1281512</v>
      </c>
      <c r="E60">
        <v>1290926</v>
      </c>
      <c r="F60" t="str">
        <f>HYPERLINK("http://imap3images.s3-website-us-east-1.amazonaws.com/1290926/p/imap_app_photo_1657148395052.jpg", "View")</f>
        <v>View</v>
      </c>
      <c r="G60" t="s">
        <v>186</v>
      </c>
      <c r="H60" t="s">
        <v>50</v>
      </c>
      <c r="I60" t="s">
        <v>114</v>
      </c>
      <c r="J60" t="s">
        <v>153</v>
      </c>
      <c r="K60" t="str">
        <f>HYPERLINK("https://www.inaturalist.org/taxa/77836-Lonicera-tatarica", "View")</f>
        <v>View</v>
      </c>
      <c r="L60" t="s">
        <v>49</v>
      </c>
      <c r="M60" t="s">
        <v>50</v>
      </c>
      <c r="N60" t="s">
        <v>51</v>
      </c>
      <c r="O60" t="s">
        <v>153</v>
      </c>
      <c r="P60">
        <v>1.48</v>
      </c>
      <c r="Q60">
        <v>24.75</v>
      </c>
      <c r="S60">
        <v>1</v>
      </c>
      <c r="U60" t="s">
        <v>395</v>
      </c>
      <c r="V60" t="s">
        <v>396</v>
      </c>
    </row>
    <row r="61" spans="1:22" x14ac:dyDescent="0.3">
      <c r="A61">
        <v>59</v>
      </c>
      <c r="B61" t="str">
        <f>HYPERLINK("https://imapinvasives.natureserve.org/imap/services/page/Presence/1274134.html", "View")</f>
        <v>View</v>
      </c>
      <c r="C61" t="s">
        <v>187</v>
      </c>
      <c r="D61">
        <v>1274134</v>
      </c>
      <c r="E61">
        <v>1283340</v>
      </c>
      <c r="F61" t="str">
        <f>HYPERLINK("http://imap3images.s3-website-us-east-1.amazonaws.com/1283340/p/2022-05-24_(6).JPG", "View")</f>
        <v>View</v>
      </c>
      <c r="G61" t="s">
        <v>188</v>
      </c>
      <c r="H61" t="s">
        <v>22</v>
      </c>
      <c r="I61" t="s">
        <v>23</v>
      </c>
      <c r="J61" t="s">
        <v>152</v>
      </c>
      <c r="K61" t="str">
        <f>HYPERLINK("https://www.inaturalist.org/taxa/82342-Lonicera-maackii", "View")</f>
        <v>View</v>
      </c>
      <c r="L61" t="s">
        <v>24</v>
      </c>
      <c r="M61" t="s">
        <v>22</v>
      </c>
      <c r="N61" t="s">
        <v>25</v>
      </c>
      <c r="O61" t="s">
        <v>152</v>
      </c>
      <c r="P61">
        <v>10.41</v>
      </c>
      <c r="Q61">
        <v>96.61</v>
      </c>
      <c r="S61">
        <v>1</v>
      </c>
      <c r="U61" t="s">
        <v>395</v>
      </c>
      <c r="V61" t="s">
        <v>396</v>
      </c>
    </row>
    <row r="62" spans="1:22" x14ac:dyDescent="0.3">
      <c r="A62">
        <v>60</v>
      </c>
      <c r="B62" t="str">
        <f>HYPERLINK("https://imapinvasives.natureserve.org/imap/services/page/Presence/1274133.html", "View")</f>
        <v>View</v>
      </c>
      <c r="C62" t="s">
        <v>189</v>
      </c>
      <c r="D62">
        <v>1274133</v>
      </c>
      <c r="E62">
        <v>1283339</v>
      </c>
      <c r="F62" t="str">
        <f>HYPERLINK("http://imap3images.s3-website-us-east-1.amazonaws.com/1283339/p/2022-05-24_(1).JPG", "View")</f>
        <v>View</v>
      </c>
      <c r="G62" t="s">
        <v>190</v>
      </c>
      <c r="H62" t="s">
        <v>22</v>
      </c>
      <c r="I62" t="s">
        <v>23</v>
      </c>
      <c r="J62" t="s">
        <v>152</v>
      </c>
      <c r="K62" t="str">
        <f>HYPERLINK("https://www.inaturalist.org/taxa/58316-Salix-babylonica", "View")</f>
        <v>View</v>
      </c>
      <c r="L62" t="s">
        <v>191</v>
      </c>
      <c r="M62" t="s">
        <v>192</v>
      </c>
      <c r="N62" t="s">
        <v>193</v>
      </c>
      <c r="O62" t="s">
        <v>194</v>
      </c>
      <c r="P62">
        <v>1.85</v>
      </c>
      <c r="Q62">
        <v>7.2</v>
      </c>
      <c r="S62">
        <v>0</v>
      </c>
      <c r="U62" t="s">
        <v>399</v>
      </c>
      <c r="V62" t="s">
        <v>401</v>
      </c>
    </row>
    <row r="63" spans="1:22" x14ac:dyDescent="0.3">
      <c r="A63">
        <v>61</v>
      </c>
      <c r="B63" t="str">
        <f>HYPERLINK("https://imapinvasives.natureserve.org/imap/services/page/Presence/1271830.html", "View")</f>
        <v>View</v>
      </c>
      <c r="C63" t="s">
        <v>195</v>
      </c>
      <c r="D63">
        <v>1271830</v>
      </c>
      <c r="E63">
        <v>1280824</v>
      </c>
      <c r="F63" t="str">
        <f>HYPERLINK("http://imap3images.s3-website-us-east-1.amazonaws.com/1280824/p/Photo1-20220510-142231.jpg", "View")</f>
        <v>View</v>
      </c>
      <c r="G63" t="s">
        <v>196</v>
      </c>
      <c r="H63" t="s">
        <v>22</v>
      </c>
      <c r="I63" t="s">
        <v>23</v>
      </c>
      <c r="J63" t="s">
        <v>152</v>
      </c>
      <c r="K63" t="str">
        <f t="shared" ref="K63:K68" si="1">HYPERLINK("https://www.inaturalist.org/taxa/82342-Lonicera-maackii", "View")</f>
        <v>View</v>
      </c>
      <c r="L63" t="s">
        <v>24</v>
      </c>
      <c r="M63" t="s">
        <v>22</v>
      </c>
      <c r="N63" t="s">
        <v>25</v>
      </c>
      <c r="O63" t="s">
        <v>152</v>
      </c>
      <c r="P63">
        <v>64.77</v>
      </c>
      <c r="Q63">
        <v>0.12</v>
      </c>
      <c r="S63">
        <v>1</v>
      </c>
      <c r="U63" t="s">
        <v>395</v>
      </c>
      <c r="V63" t="s">
        <v>396</v>
      </c>
    </row>
    <row r="64" spans="1:22" x14ac:dyDescent="0.3">
      <c r="A64">
        <v>62</v>
      </c>
      <c r="B64" t="str">
        <f>HYPERLINK("https://imapinvasives.natureserve.org/imap/services/page/Presence/1248198.html", "View")</f>
        <v>View</v>
      </c>
      <c r="C64" t="s">
        <v>197</v>
      </c>
      <c r="D64">
        <v>1248198</v>
      </c>
      <c r="E64">
        <v>1256308</v>
      </c>
      <c r="F64" t="str">
        <f>HYPERLINK("http://imap3images.s3-website-us-east-1.amazonaws.com/1256308/p/imap_app_photo_1640960190053.jpg", "View")</f>
        <v>View</v>
      </c>
      <c r="G64" t="s">
        <v>198</v>
      </c>
      <c r="H64" t="s">
        <v>22</v>
      </c>
      <c r="I64" t="s">
        <v>23</v>
      </c>
      <c r="J64" t="s">
        <v>152</v>
      </c>
      <c r="K64" t="str">
        <f t="shared" si="1"/>
        <v>View</v>
      </c>
      <c r="L64" t="s">
        <v>24</v>
      </c>
      <c r="M64" t="s">
        <v>22</v>
      </c>
      <c r="N64" t="s">
        <v>25</v>
      </c>
      <c r="O64" t="s">
        <v>152</v>
      </c>
      <c r="P64">
        <v>13.19</v>
      </c>
      <c r="Q64">
        <v>42.19</v>
      </c>
      <c r="S64">
        <v>1</v>
      </c>
      <c r="U64" t="s">
        <v>395</v>
      </c>
      <c r="V64" t="s">
        <v>403</v>
      </c>
    </row>
    <row r="65" spans="1:22" x14ac:dyDescent="0.3">
      <c r="A65">
        <v>63</v>
      </c>
      <c r="B65" t="str">
        <f>HYPERLINK("https://imapinvasives.natureserve.org/imap/services/page/Presence/1178820.html", "View")</f>
        <v>View</v>
      </c>
      <c r="C65" t="s">
        <v>199</v>
      </c>
      <c r="D65">
        <v>1178820</v>
      </c>
      <c r="E65">
        <v>1186397</v>
      </c>
      <c r="F65" t="str">
        <f>HYPERLINK("http://imap3images.s3-website-us-east-1.amazonaws.com/1186397/p/396B496F-A1B5-4C6E-AF3D-D4F03E6428E7.jpeg", "View")</f>
        <v>View</v>
      </c>
      <c r="G65" t="s">
        <v>200</v>
      </c>
      <c r="H65" t="s">
        <v>22</v>
      </c>
      <c r="I65" t="s">
        <v>23</v>
      </c>
      <c r="J65" t="s">
        <v>152</v>
      </c>
      <c r="K65" t="str">
        <f t="shared" si="1"/>
        <v>View</v>
      </c>
      <c r="L65" t="s">
        <v>24</v>
      </c>
      <c r="M65" t="s">
        <v>22</v>
      </c>
      <c r="N65" t="s">
        <v>25</v>
      </c>
      <c r="O65" t="s">
        <v>152</v>
      </c>
      <c r="P65">
        <v>14.27</v>
      </c>
      <c r="Q65">
        <v>93.95</v>
      </c>
      <c r="S65">
        <v>1</v>
      </c>
      <c r="U65" t="s">
        <v>395</v>
      </c>
      <c r="V65" t="s">
        <v>396</v>
      </c>
    </row>
    <row r="66" spans="1:22" x14ac:dyDescent="0.3">
      <c r="A66">
        <v>64</v>
      </c>
      <c r="B66" t="str">
        <f>HYPERLINK("https://imapinvasives.natureserve.org/imap/services/page/Presence/1165744.html", "View")</f>
        <v>View</v>
      </c>
      <c r="C66" t="s">
        <v>201</v>
      </c>
      <c r="D66">
        <v>1165744</v>
      </c>
      <c r="E66">
        <v>1173013</v>
      </c>
      <c r="F66" t="str">
        <f>HYPERLINK("http://imap3images.s3-website-us-east-1.amazonaws.com/1173013/p/AD3FD45E-9AA5-484E-A18B-8D9571BC6E89.jpeg", "View")</f>
        <v>View</v>
      </c>
      <c r="G66" t="s">
        <v>202</v>
      </c>
      <c r="H66" t="s">
        <v>22</v>
      </c>
      <c r="I66" t="s">
        <v>23</v>
      </c>
      <c r="J66" t="s">
        <v>152</v>
      </c>
      <c r="K66" t="str">
        <f t="shared" si="1"/>
        <v>View</v>
      </c>
      <c r="L66" t="s">
        <v>24</v>
      </c>
      <c r="M66" t="s">
        <v>22</v>
      </c>
      <c r="N66" t="s">
        <v>25</v>
      </c>
      <c r="O66" t="s">
        <v>152</v>
      </c>
      <c r="P66">
        <v>14.27</v>
      </c>
      <c r="Q66">
        <v>99.29</v>
      </c>
      <c r="S66">
        <v>1</v>
      </c>
      <c r="U66" t="s">
        <v>395</v>
      </c>
      <c r="V66" t="s">
        <v>396</v>
      </c>
    </row>
    <row r="67" spans="1:22" x14ac:dyDescent="0.3">
      <c r="A67">
        <v>65</v>
      </c>
      <c r="B67" t="str">
        <f>HYPERLINK("https://imapinvasives.natureserve.org/imap/services/page/Presence/1159921.html", "View")</f>
        <v>View</v>
      </c>
      <c r="C67" t="s">
        <v>203</v>
      </c>
      <c r="D67">
        <v>1159921</v>
      </c>
      <c r="E67">
        <v>1167030</v>
      </c>
      <c r="F67" t="str">
        <f>HYPERLINK("http://imap3images.s3-website-us-east-1.amazonaws.com/1167030/p/imap_app_photo_1629922122848.jpg", "View")</f>
        <v>View</v>
      </c>
      <c r="G67" t="s">
        <v>204</v>
      </c>
      <c r="H67" t="s">
        <v>22</v>
      </c>
      <c r="I67" t="s">
        <v>23</v>
      </c>
      <c r="J67" t="s">
        <v>152</v>
      </c>
      <c r="K67" t="str">
        <f t="shared" si="1"/>
        <v>View</v>
      </c>
      <c r="L67" t="s">
        <v>24</v>
      </c>
      <c r="M67" t="s">
        <v>22</v>
      </c>
      <c r="N67" t="s">
        <v>25</v>
      </c>
      <c r="O67" t="s">
        <v>152</v>
      </c>
      <c r="P67">
        <v>17.12</v>
      </c>
      <c r="Q67">
        <v>63.09</v>
      </c>
      <c r="S67">
        <v>1</v>
      </c>
      <c r="U67" t="s">
        <v>395</v>
      </c>
      <c r="V67" t="s">
        <v>396</v>
      </c>
    </row>
    <row r="68" spans="1:22" x14ac:dyDescent="0.3">
      <c r="A68">
        <v>66</v>
      </c>
      <c r="B68" t="str">
        <f>HYPERLINK("https://imapinvasives.natureserve.org/imap/services/page/Presence/1147082.html", "View")</f>
        <v>View</v>
      </c>
      <c r="C68" t="s">
        <v>205</v>
      </c>
      <c r="D68">
        <v>1147082</v>
      </c>
      <c r="E68">
        <v>1153777</v>
      </c>
      <c r="F68" t="str">
        <f>HYPERLINK("http://imap3images.s3-website-us-east-1.amazonaws.com/1153777/p/474F6A7D-A252-40A0-B0FB-C351A6E3D400.jpeg", "View")</f>
        <v>View</v>
      </c>
      <c r="G68" t="s">
        <v>206</v>
      </c>
      <c r="H68" t="s">
        <v>22</v>
      </c>
      <c r="I68" t="s">
        <v>23</v>
      </c>
      <c r="J68" t="s">
        <v>152</v>
      </c>
      <c r="K68" t="str">
        <f t="shared" si="1"/>
        <v>View</v>
      </c>
      <c r="L68" t="s">
        <v>24</v>
      </c>
      <c r="M68" t="s">
        <v>22</v>
      </c>
      <c r="N68" t="s">
        <v>25</v>
      </c>
      <c r="O68" t="s">
        <v>152</v>
      </c>
      <c r="P68">
        <v>14.27</v>
      </c>
      <c r="Q68">
        <v>37.9</v>
      </c>
      <c r="S68">
        <v>1</v>
      </c>
      <c r="U68" t="s">
        <v>395</v>
      </c>
      <c r="V68" t="s">
        <v>396</v>
      </c>
    </row>
    <row r="69" spans="1:22" x14ac:dyDescent="0.3">
      <c r="A69">
        <v>67</v>
      </c>
      <c r="B69" t="str">
        <f>HYPERLINK("https://imapinvasives.natureserve.org/imap/services/page/Presence/1145119.html", "View")</f>
        <v>View</v>
      </c>
      <c r="C69" t="s">
        <v>207</v>
      </c>
      <c r="D69">
        <v>1145119</v>
      </c>
      <c r="E69">
        <v>1151642</v>
      </c>
      <c r="F69" t="str">
        <f>HYPERLINK("http://imap3images.s3-website-us-east-1.amazonaws.com/1151642/p/imap_app_photo_1623172479165.jpg", "View")</f>
        <v>View</v>
      </c>
      <c r="G69" t="s">
        <v>208</v>
      </c>
      <c r="H69" t="s">
        <v>50</v>
      </c>
      <c r="I69" t="s">
        <v>114</v>
      </c>
      <c r="J69" t="s">
        <v>153</v>
      </c>
      <c r="K69" t="str">
        <f>HYPERLINK("https://www.inaturalist.org/taxa/59773-Lonicera-morrowii", "View")</f>
        <v>View</v>
      </c>
      <c r="L69" t="s">
        <v>30</v>
      </c>
      <c r="M69" t="s">
        <v>31</v>
      </c>
      <c r="N69" t="s">
        <v>32</v>
      </c>
      <c r="O69" t="s">
        <v>154</v>
      </c>
      <c r="P69">
        <v>34.75</v>
      </c>
      <c r="Q69">
        <v>28.05</v>
      </c>
      <c r="S69">
        <v>1</v>
      </c>
      <c r="U69" t="s">
        <v>395</v>
      </c>
      <c r="V69" t="s">
        <v>396</v>
      </c>
    </row>
    <row r="70" spans="1:22" x14ac:dyDescent="0.3">
      <c r="A70">
        <v>68</v>
      </c>
      <c r="B70" t="str">
        <f>HYPERLINK("https://imapinvasives.natureserve.org/imap/services/page/Presence/1145115.html", "View")</f>
        <v>View</v>
      </c>
      <c r="C70" t="s">
        <v>209</v>
      </c>
      <c r="D70">
        <v>1145115</v>
      </c>
      <c r="E70">
        <v>1151638</v>
      </c>
      <c r="F70" t="str">
        <f>HYPERLINK("http://imap3images.s3-website-us-east-1.amazonaws.com/1151638/p/imap_app_photo_1623172444062.jpg", "View")</f>
        <v>View</v>
      </c>
      <c r="G70" t="s">
        <v>210</v>
      </c>
      <c r="H70" t="s">
        <v>50</v>
      </c>
      <c r="I70" t="s">
        <v>114</v>
      </c>
      <c r="J70" t="s">
        <v>153</v>
      </c>
      <c r="K70" t="str">
        <f>HYPERLINK("https://www.inaturalist.org/taxa/77836-Lonicera-tatarica", "View")</f>
        <v>View</v>
      </c>
      <c r="L70" t="s">
        <v>49</v>
      </c>
      <c r="M70" t="s">
        <v>50</v>
      </c>
      <c r="N70" t="s">
        <v>51</v>
      </c>
      <c r="O70" t="s">
        <v>153</v>
      </c>
      <c r="P70">
        <v>10.46</v>
      </c>
      <c r="Q70">
        <v>0.62</v>
      </c>
      <c r="S70">
        <v>1</v>
      </c>
      <c r="U70" t="s">
        <v>395</v>
      </c>
      <c r="V70" t="s">
        <v>396</v>
      </c>
    </row>
    <row r="71" spans="1:22" x14ac:dyDescent="0.3">
      <c r="A71">
        <v>69</v>
      </c>
      <c r="B71" t="str">
        <f>HYPERLINK("https://imapinvasives.natureserve.org/imap/services/page/Presence/1140103.html", "View")</f>
        <v>View</v>
      </c>
      <c r="C71" t="s">
        <v>211</v>
      </c>
      <c r="D71">
        <v>1140103</v>
      </c>
      <c r="E71">
        <v>1146617</v>
      </c>
      <c r="F71" t="str">
        <f>HYPERLINK("http://imap3images.s3-website-us-east-1.amazonaws.com/1146617/p/imap_app_photo_1622737449797.jpg", "View")</f>
        <v>View</v>
      </c>
      <c r="G71" t="s">
        <v>212</v>
      </c>
      <c r="H71" t="s">
        <v>22</v>
      </c>
      <c r="I71" t="s">
        <v>23</v>
      </c>
      <c r="J71" t="s">
        <v>152</v>
      </c>
      <c r="K71" t="str">
        <f>HYPERLINK("https://www.inaturalist.org/taxa/82342-Lonicera-maackii", "View")</f>
        <v>View</v>
      </c>
      <c r="L71" t="s">
        <v>24</v>
      </c>
      <c r="M71" t="s">
        <v>22</v>
      </c>
      <c r="N71" t="s">
        <v>25</v>
      </c>
      <c r="O71" t="s">
        <v>152</v>
      </c>
      <c r="P71">
        <v>17.12</v>
      </c>
      <c r="Q71">
        <v>99.39</v>
      </c>
      <c r="S71">
        <v>1</v>
      </c>
      <c r="U71" t="s">
        <v>395</v>
      </c>
      <c r="V71" t="s">
        <v>396</v>
      </c>
    </row>
    <row r="72" spans="1:22" x14ac:dyDescent="0.3">
      <c r="A72">
        <v>70</v>
      </c>
      <c r="B72" t="str">
        <f>HYPERLINK("https://imapinvasives.natureserve.org/imap/services/page/Presence/1139852.html", "View")</f>
        <v>View</v>
      </c>
      <c r="C72" t="s">
        <v>213</v>
      </c>
      <c r="D72">
        <v>1139852</v>
      </c>
      <c r="E72">
        <v>1146364</v>
      </c>
      <c r="F72" t="str">
        <f>HYPERLINK("http://imap3images.s3-website-us-east-1.amazonaws.com/1146364/p/imap_app_photo_1622651525860.jpg", "View")</f>
        <v>View</v>
      </c>
      <c r="G72" t="s">
        <v>214</v>
      </c>
      <c r="H72" t="s">
        <v>22</v>
      </c>
      <c r="I72" t="s">
        <v>23</v>
      </c>
      <c r="J72" t="s">
        <v>152</v>
      </c>
      <c r="K72" t="str">
        <f>HYPERLINK("https://www.inaturalist.org/taxa/82342-Lonicera-maackii", "View")</f>
        <v>View</v>
      </c>
      <c r="L72" t="s">
        <v>24</v>
      </c>
      <c r="M72" t="s">
        <v>22</v>
      </c>
      <c r="N72" t="s">
        <v>25</v>
      </c>
      <c r="O72" t="s">
        <v>152</v>
      </c>
      <c r="P72">
        <v>17.12</v>
      </c>
      <c r="Q72">
        <v>99.68</v>
      </c>
      <c r="S72">
        <v>1</v>
      </c>
      <c r="U72" t="s">
        <v>395</v>
      </c>
      <c r="V72" t="s">
        <v>396</v>
      </c>
    </row>
    <row r="73" spans="1:22" x14ac:dyDescent="0.3">
      <c r="A73">
        <v>71</v>
      </c>
      <c r="B73" t="str">
        <f>HYPERLINK("https://imapinvasives.natureserve.org/imap/services/page/Presence/1139681.html", "View")</f>
        <v>View</v>
      </c>
      <c r="C73" t="s">
        <v>215</v>
      </c>
      <c r="D73">
        <v>1139681</v>
      </c>
      <c r="E73">
        <v>1146193</v>
      </c>
      <c r="F73" t="str">
        <f>HYPERLINK("http://imap3images.s3-website-us-east-1.amazonaws.com/1146193/p/imap_app_photo_1622574471776.jpg", "View")</f>
        <v>View</v>
      </c>
      <c r="G73" t="s">
        <v>216</v>
      </c>
      <c r="H73" t="s">
        <v>50</v>
      </c>
      <c r="I73" t="s">
        <v>114</v>
      </c>
      <c r="J73" t="s">
        <v>153</v>
      </c>
      <c r="K73" t="str">
        <f>HYPERLINK("https://www.inaturalist.org/taxa/59773-Lonicera-morrowii", "View")</f>
        <v>View</v>
      </c>
      <c r="L73" t="s">
        <v>30</v>
      </c>
      <c r="M73" t="s">
        <v>31</v>
      </c>
      <c r="N73" t="s">
        <v>32</v>
      </c>
      <c r="O73" t="s">
        <v>154</v>
      </c>
      <c r="P73">
        <v>34.75</v>
      </c>
      <c r="Q73">
        <v>96.7</v>
      </c>
      <c r="S73">
        <v>1</v>
      </c>
      <c r="U73" t="s">
        <v>395</v>
      </c>
      <c r="V73" t="s">
        <v>396</v>
      </c>
    </row>
    <row r="74" spans="1:22" x14ac:dyDescent="0.3">
      <c r="A74">
        <v>72</v>
      </c>
      <c r="B74" t="str">
        <f>HYPERLINK("https://imapinvasives.natureserve.org/imap/services/page/Presence/1139675.html", "View")</f>
        <v>View</v>
      </c>
      <c r="C74" t="s">
        <v>217</v>
      </c>
      <c r="D74">
        <v>1139675</v>
      </c>
      <c r="E74">
        <v>1146187</v>
      </c>
      <c r="F74" t="str">
        <f>HYPERLINK("http://imap3images.s3-website-us-east-1.amazonaws.com/1146187/p/imap_app_photo_1622574241340.jpg", "View")</f>
        <v>View</v>
      </c>
      <c r="G74" t="s">
        <v>218</v>
      </c>
      <c r="H74" t="s">
        <v>50</v>
      </c>
      <c r="I74" t="s">
        <v>114</v>
      </c>
      <c r="J74" t="s">
        <v>153</v>
      </c>
      <c r="K74" t="str">
        <f>HYPERLINK("https://www.inaturalist.org/taxa/77836-Lonicera-tatarica", "View")</f>
        <v>View</v>
      </c>
      <c r="L74" t="s">
        <v>49</v>
      </c>
      <c r="M74" t="s">
        <v>50</v>
      </c>
      <c r="N74" t="s">
        <v>51</v>
      </c>
      <c r="O74" t="s">
        <v>153</v>
      </c>
      <c r="P74">
        <v>10.46</v>
      </c>
      <c r="Q74">
        <v>1.77</v>
      </c>
      <c r="S74">
        <v>1</v>
      </c>
      <c r="U74" t="s">
        <v>395</v>
      </c>
      <c r="V74" t="s">
        <v>396</v>
      </c>
    </row>
    <row r="75" spans="1:22" x14ac:dyDescent="0.3">
      <c r="A75">
        <v>73</v>
      </c>
      <c r="B75" t="str">
        <f>HYPERLINK("https://imapinvasives.natureserve.org/imap/services/page/Presence/1139672.html", "View")</f>
        <v>View</v>
      </c>
      <c r="C75" t="s">
        <v>219</v>
      </c>
      <c r="D75">
        <v>1139672</v>
      </c>
      <c r="E75">
        <v>1146184</v>
      </c>
      <c r="F75" t="str">
        <f>HYPERLINK("http://imap3images.s3-website-us-east-1.amazonaws.com/1146184/p/imap_app_photo_1622574218883.jpg", "View")</f>
        <v>View</v>
      </c>
      <c r="G75" t="s">
        <v>220</v>
      </c>
      <c r="H75" t="s">
        <v>50</v>
      </c>
      <c r="I75" t="s">
        <v>114</v>
      </c>
      <c r="J75" t="s">
        <v>153</v>
      </c>
      <c r="K75" t="str">
        <f>HYPERLINK("https://www.inaturalist.org/taxa/59773-Lonicera-morrowii", "View")</f>
        <v>View</v>
      </c>
      <c r="L75" t="s">
        <v>30</v>
      </c>
      <c r="M75" t="s">
        <v>31</v>
      </c>
      <c r="N75" t="s">
        <v>32</v>
      </c>
      <c r="O75" t="s">
        <v>154</v>
      </c>
      <c r="P75">
        <v>34.75</v>
      </c>
      <c r="Q75">
        <v>98.87</v>
      </c>
      <c r="S75">
        <v>1</v>
      </c>
      <c r="U75" t="s">
        <v>395</v>
      </c>
      <c r="V75" t="s">
        <v>396</v>
      </c>
    </row>
    <row r="76" spans="1:22" x14ac:dyDescent="0.3">
      <c r="A76">
        <v>74</v>
      </c>
      <c r="B76" t="str">
        <f>HYPERLINK("https://imapinvasives.natureserve.org/imap/services/page/Presence/1139663.html", "View")</f>
        <v>View</v>
      </c>
      <c r="C76" t="s">
        <v>221</v>
      </c>
      <c r="D76">
        <v>1139663</v>
      </c>
      <c r="E76">
        <v>1146175</v>
      </c>
      <c r="F76" t="str">
        <f>HYPERLINK("http://imap3images.s3-website-us-east-1.amazonaws.com/1146175/p/imap_app_photo_1622574146276.jpg", "View")</f>
        <v>View</v>
      </c>
      <c r="G76" t="s">
        <v>222</v>
      </c>
      <c r="H76" t="s">
        <v>50</v>
      </c>
      <c r="I76" t="s">
        <v>114</v>
      </c>
      <c r="J76" t="s">
        <v>153</v>
      </c>
      <c r="K76" t="str">
        <f>HYPERLINK("https://www.inaturalist.org/taxa/77836-Lonicera-tatarica", "View")</f>
        <v>View</v>
      </c>
      <c r="L76" t="s">
        <v>49</v>
      </c>
      <c r="M76" t="s">
        <v>50</v>
      </c>
      <c r="N76" t="s">
        <v>51</v>
      </c>
      <c r="O76" t="s">
        <v>153</v>
      </c>
      <c r="P76">
        <v>10.46</v>
      </c>
      <c r="Q76">
        <v>0.72</v>
      </c>
      <c r="S76">
        <v>1</v>
      </c>
      <c r="U76" t="s">
        <v>395</v>
      </c>
      <c r="V76" t="s">
        <v>396</v>
      </c>
    </row>
    <row r="77" spans="1:22" x14ac:dyDescent="0.3">
      <c r="A77">
        <v>75</v>
      </c>
      <c r="B77" t="str">
        <f>HYPERLINK("https://imapinvasives.natureserve.org/imap/services/page/Presence/1139576.html", "View")</f>
        <v>View</v>
      </c>
      <c r="C77" t="s">
        <v>223</v>
      </c>
      <c r="D77">
        <v>1139576</v>
      </c>
      <c r="E77">
        <v>1146077</v>
      </c>
      <c r="F77" t="str">
        <f>HYPERLINK("http://imap3images.s3-website-us-east-1.amazonaws.com/1146077/p/imap_app_photo_1622477537586.jpg", "View")</f>
        <v>View</v>
      </c>
      <c r="G77" t="s">
        <v>224</v>
      </c>
      <c r="H77" t="s">
        <v>22</v>
      </c>
      <c r="I77" t="s">
        <v>23</v>
      </c>
      <c r="J77" t="s">
        <v>152</v>
      </c>
      <c r="K77" t="str">
        <f t="shared" ref="K77:K83" si="2">HYPERLINK("https://www.inaturalist.org/taxa/82342-Lonicera-maackii", "View")</f>
        <v>View</v>
      </c>
      <c r="L77" t="s">
        <v>24</v>
      </c>
      <c r="M77" t="s">
        <v>22</v>
      </c>
      <c r="N77" t="s">
        <v>25</v>
      </c>
      <c r="O77" t="s">
        <v>152</v>
      </c>
      <c r="P77">
        <v>14.41</v>
      </c>
      <c r="Q77">
        <v>92.78</v>
      </c>
      <c r="S77">
        <v>1</v>
      </c>
      <c r="U77" t="s">
        <v>395</v>
      </c>
      <c r="V77" t="s">
        <v>400</v>
      </c>
    </row>
    <row r="78" spans="1:22" x14ac:dyDescent="0.3">
      <c r="A78">
        <v>76</v>
      </c>
      <c r="B78" t="str">
        <f>HYPERLINK("https://imapinvasives.natureserve.org/imap/services/page/Presence/1071607.html", "View")</f>
        <v>View</v>
      </c>
      <c r="C78" t="s">
        <v>225</v>
      </c>
      <c r="D78">
        <v>1071607</v>
      </c>
      <c r="E78">
        <v>1076650</v>
      </c>
      <c r="F78" t="str">
        <f>HYPERLINK("http://imap3images.s3-website-us-east-1.amazonaws.com/1076650/p/imap_app_photo_1603573589826.jpg", "View")</f>
        <v>View</v>
      </c>
      <c r="G78" t="s">
        <v>226</v>
      </c>
      <c r="H78" t="s">
        <v>22</v>
      </c>
      <c r="I78" t="s">
        <v>23</v>
      </c>
      <c r="J78" t="s">
        <v>152</v>
      </c>
      <c r="K78" t="str">
        <f t="shared" si="2"/>
        <v>View</v>
      </c>
      <c r="L78" t="s">
        <v>24</v>
      </c>
      <c r="M78" t="s">
        <v>22</v>
      </c>
      <c r="N78" t="s">
        <v>25</v>
      </c>
      <c r="O78" t="s">
        <v>152</v>
      </c>
      <c r="P78">
        <v>10.41</v>
      </c>
      <c r="Q78">
        <v>92.15</v>
      </c>
      <c r="S78">
        <v>1</v>
      </c>
      <c r="U78" t="s">
        <v>395</v>
      </c>
      <c r="V78" t="s">
        <v>396</v>
      </c>
    </row>
    <row r="79" spans="1:22" x14ac:dyDescent="0.3">
      <c r="A79">
        <v>77</v>
      </c>
      <c r="B79" t="str">
        <f>HYPERLINK("https://imapinvasives.natureserve.org/imap/services/page/Presence/1070134.html", "View")</f>
        <v>View</v>
      </c>
      <c r="C79" t="s">
        <v>227</v>
      </c>
      <c r="D79">
        <v>1070134</v>
      </c>
      <c r="E79">
        <v>1075019</v>
      </c>
      <c r="F79" t="str">
        <f>HYPERLINK("http://imap3images.s3-website-us-east-1.amazonaws.com/1075019/p/20200925_143103.jpg", "View")</f>
        <v>View</v>
      </c>
      <c r="G79" t="s">
        <v>228</v>
      </c>
      <c r="H79" t="s">
        <v>22</v>
      </c>
      <c r="I79" t="s">
        <v>23</v>
      </c>
      <c r="J79" t="s">
        <v>152</v>
      </c>
      <c r="K79" t="str">
        <f t="shared" si="2"/>
        <v>View</v>
      </c>
      <c r="L79" t="s">
        <v>24</v>
      </c>
      <c r="M79" t="s">
        <v>22</v>
      </c>
      <c r="N79" t="s">
        <v>25</v>
      </c>
      <c r="O79" t="s">
        <v>152</v>
      </c>
      <c r="P79">
        <v>13.19</v>
      </c>
      <c r="Q79">
        <v>77.58</v>
      </c>
      <c r="S79">
        <v>1</v>
      </c>
      <c r="U79" t="s">
        <v>395</v>
      </c>
      <c r="V79" t="s">
        <v>396</v>
      </c>
    </row>
    <row r="80" spans="1:22" x14ac:dyDescent="0.3">
      <c r="A80">
        <v>78</v>
      </c>
      <c r="B80" t="str">
        <f>HYPERLINK("https://imapinvasives.natureserve.org/imap/services/page/Presence/1068555.html", "View")</f>
        <v>View</v>
      </c>
      <c r="C80" t="s">
        <v>229</v>
      </c>
      <c r="D80">
        <v>1068555</v>
      </c>
      <c r="E80">
        <v>1073382</v>
      </c>
      <c r="F80" t="str">
        <f>HYPERLINK("http://imap3images.s3-website-us-east-1.amazonaws.com/1073382/p/imap_app_photo_1599585761699.jpg", "View")</f>
        <v>View</v>
      </c>
      <c r="G80" t="s">
        <v>230</v>
      </c>
      <c r="H80" t="s">
        <v>22</v>
      </c>
      <c r="I80" t="s">
        <v>23</v>
      </c>
      <c r="J80" t="s">
        <v>152</v>
      </c>
      <c r="K80" t="str">
        <f t="shared" si="2"/>
        <v>View</v>
      </c>
      <c r="L80" t="s">
        <v>24</v>
      </c>
      <c r="M80" t="s">
        <v>22</v>
      </c>
      <c r="N80" t="s">
        <v>25</v>
      </c>
      <c r="O80" t="s">
        <v>152</v>
      </c>
      <c r="P80">
        <v>17.12</v>
      </c>
      <c r="Q80">
        <v>39.07</v>
      </c>
      <c r="S80">
        <v>1</v>
      </c>
      <c r="U80" t="s">
        <v>395</v>
      </c>
      <c r="V80" t="s">
        <v>396</v>
      </c>
    </row>
    <row r="81" spans="1:23" x14ac:dyDescent="0.3">
      <c r="A81">
        <v>79</v>
      </c>
      <c r="B81" t="str">
        <f>HYPERLINK("https://imapinvasives.natureserve.org/imap/services/page/Presence/1068499.html", "View")</f>
        <v>View</v>
      </c>
      <c r="C81" t="s">
        <v>231</v>
      </c>
      <c r="D81">
        <v>1068499</v>
      </c>
      <c r="E81">
        <v>1073326</v>
      </c>
      <c r="F81" t="str">
        <f>HYPERLINK("http://imap3images.s3-website-us-east-1.amazonaws.com/1073326/p/imap_app_photo_1599579649383.jpg", "View")</f>
        <v>View</v>
      </c>
      <c r="G81" t="s">
        <v>232</v>
      </c>
      <c r="H81" t="s">
        <v>22</v>
      </c>
      <c r="I81" t="s">
        <v>23</v>
      </c>
      <c r="J81" t="s">
        <v>152</v>
      </c>
      <c r="K81" t="str">
        <f t="shared" si="2"/>
        <v>View</v>
      </c>
      <c r="L81" t="s">
        <v>24</v>
      </c>
      <c r="M81" t="s">
        <v>22</v>
      </c>
      <c r="N81" t="s">
        <v>25</v>
      </c>
      <c r="O81" t="s">
        <v>152</v>
      </c>
      <c r="P81">
        <v>17.12</v>
      </c>
      <c r="Q81">
        <v>20.23</v>
      </c>
      <c r="S81">
        <v>1</v>
      </c>
      <c r="U81" t="s">
        <v>395</v>
      </c>
      <c r="V81" t="s">
        <v>396</v>
      </c>
    </row>
    <row r="82" spans="1:23" x14ac:dyDescent="0.3">
      <c r="A82">
        <v>80</v>
      </c>
      <c r="B82" t="str">
        <f>HYPERLINK("https://imapinvasives.natureserve.org/imap/services/page/Presence/1068396.html", "View")</f>
        <v>View</v>
      </c>
      <c r="C82" t="s">
        <v>233</v>
      </c>
      <c r="D82">
        <v>1068396</v>
      </c>
      <c r="E82">
        <v>1073223</v>
      </c>
      <c r="F82" t="str">
        <f>HYPERLINK("http://imap3images.s3-website-us-east-1.amazonaws.com/1073223/p/imap_app_photo_1599522479674.jpg", "View")</f>
        <v>View</v>
      </c>
      <c r="G82" t="s">
        <v>234</v>
      </c>
      <c r="H82" t="s">
        <v>22</v>
      </c>
      <c r="I82" t="s">
        <v>23</v>
      </c>
      <c r="J82" t="s">
        <v>152</v>
      </c>
      <c r="K82" t="str">
        <f t="shared" si="2"/>
        <v>View</v>
      </c>
      <c r="L82" t="s">
        <v>24</v>
      </c>
      <c r="M82" t="s">
        <v>22</v>
      </c>
      <c r="N82" t="s">
        <v>25</v>
      </c>
      <c r="O82" t="s">
        <v>152</v>
      </c>
      <c r="P82">
        <v>17.12</v>
      </c>
      <c r="Q82">
        <v>66.69</v>
      </c>
      <c r="S82">
        <v>1</v>
      </c>
      <c r="U82" t="s">
        <v>395</v>
      </c>
      <c r="V82" t="s">
        <v>396</v>
      </c>
    </row>
    <row r="83" spans="1:23" x14ac:dyDescent="0.3">
      <c r="A83">
        <v>81</v>
      </c>
      <c r="B83" t="str">
        <f>HYPERLINK("https://imapinvasives.natureserve.org/imap/services/page/Presence/1064277.html", "View")</f>
        <v>View</v>
      </c>
      <c r="C83" t="s">
        <v>235</v>
      </c>
      <c r="D83">
        <v>1064277</v>
      </c>
      <c r="E83">
        <v>1069016</v>
      </c>
      <c r="F83" t="str">
        <f>HYPERLINK("http://imap3images.s3-website-us-east-1.amazonaws.com/1069016/p/imap_app_photo_1598474777138.jpg", "View")</f>
        <v>View</v>
      </c>
      <c r="G83" t="s">
        <v>236</v>
      </c>
      <c r="H83" t="s">
        <v>22</v>
      </c>
      <c r="I83" t="s">
        <v>23</v>
      </c>
      <c r="J83" t="s">
        <v>152</v>
      </c>
      <c r="K83" t="str">
        <f t="shared" si="2"/>
        <v>View</v>
      </c>
      <c r="L83" t="s">
        <v>24</v>
      </c>
      <c r="M83" t="s">
        <v>22</v>
      </c>
      <c r="N83" t="s">
        <v>25</v>
      </c>
      <c r="O83" t="s">
        <v>152</v>
      </c>
      <c r="P83">
        <v>17.12</v>
      </c>
      <c r="Q83">
        <v>95.54</v>
      </c>
      <c r="S83">
        <v>1</v>
      </c>
      <c r="U83" t="s">
        <v>395</v>
      </c>
      <c r="V83" t="s">
        <v>396</v>
      </c>
    </row>
    <row r="84" spans="1:23" x14ac:dyDescent="0.3">
      <c r="A84">
        <v>82</v>
      </c>
      <c r="B84" t="str">
        <f>HYPERLINK("https://imapinvasives.natureserve.org/imap/services/page/Presence/1052869.html", "View")</f>
        <v>View</v>
      </c>
      <c r="C84" t="s">
        <v>237</v>
      </c>
      <c r="D84">
        <v>1052869</v>
      </c>
      <c r="E84">
        <v>1057163</v>
      </c>
      <c r="F84" t="str">
        <f>HYPERLINK("http://imap3images.s3-website-us-east-1.amazonaws.com/1057163/p/imap_app_photo_1593463296865.jpg", "View")</f>
        <v>View</v>
      </c>
      <c r="G84" t="s">
        <v>238</v>
      </c>
      <c r="H84" t="s">
        <v>125</v>
      </c>
      <c r="I84" t="s">
        <v>126</v>
      </c>
      <c r="J84" t="s">
        <v>168</v>
      </c>
      <c r="K84" t="str">
        <f>HYPERLINK("https://www.inaturalist.org/taxa/59773-Lonicera-morrowii", "View")</f>
        <v>View</v>
      </c>
      <c r="L84" t="s">
        <v>30</v>
      </c>
      <c r="M84" t="s">
        <v>31</v>
      </c>
      <c r="N84" t="s">
        <v>32</v>
      </c>
      <c r="O84" t="s">
        <v>154</v>
      </c>
      <c r="P84">
        <v>6.63</v>
      </c>
      <c r="Q84">
        <v>50.79</v>
      </c>
      <c r="S84">
        <v>1</v>
      </c>
      <c r="U84" t="s">
        <v>395</v>
      </c>
      <c r="V84" t="s">
        <v>396</v>
      </c>
    </row>
    <row r="85" spans="1:23" x14ac:dyDescent="0.3">
      <c r="A85">
        <v>83</v>
      </c>
      <c r="B85" t="str">
        <f>HYPERLINK("https://imapinvasives.natureserve.org/imap/services/page/Presence/1052179.html", "View")</f>
        <v>View</v>
      </c>
      <c r="C85" t="s">
        <v>239</v>
      </c>
      <c r="D85">
        <v>1052179</v>
      </c>
      <c r="E85">
        <v>1056385</v>
      </c>
      <c r="F85" t="str">
        <f>HYPERLINK("http://imap3images.s3-website-us-east-1.amazonaws.com/1056385/p/imap_app_photo_1593197852160.jpg", "View")</f>
        <v>View</v>
      </c>
      <c r="G85" t="s">
        <v>240</v>
      </c>
      <c r="H85" t="s">
        <v>22</v>
      </c>
      <c r="I85" t="s">
        <v>23</v>
      </c>
      <c r="J85" t="s">
        <v>152</v>
      </c>
      <c r="K85" t="str">
        <f>HYPERLINK("https://www.inaturalist.org/taxa/82342-Lonicera-maackii", "View")</f>
        <v>View</v>
      </c>
      <c r="L85" t="s">
        <v>24</v>
      </c>
      <c r="M85" t="s">
        <v>22</v>
      </c>
      <c r="N85" t="s">
        <v>25</v>
      </c>
      <c r="O85" t="s">
        <v>152</v>
      </c>
      <c r="P85">
        <v>10.41</v>
      </c>
      <c r="Q85">
        <v>90.3</v>
      </c>
      <c r="S85">
        <v>1</v>
      </c>
      <c r="U85" t="s">
        <v>395</v>
      </c>
      <c r="V85" t="s">
        <v>396</v>
      </c>
    </row>
    <row r="86" spans="1:23" x14ac:dyDescent="0.3">
      <c r="A86">
        <v>84</v>
      </c>
      <c r="B86" t="str">
        <f>HYPERLINK("https://imapinvasives.natureserve.org/imap/services/page/Presence/1048428.html", "View")</f>
        <v>View</v>
      </c>
      <c r="C86" t="s">
        <v>241</v>
      </c>
      <c r="D86">
        <v>1048428</v>
      </c>
      <c r="E86">
        <v>1052446</v>
      </c>
      <c r="F86" t="str">
        <f>HYPERLINK("http://imap3images.s3-website-us-east-1.amazonaws.com/1052446/p/imap_app_photo_1591443660002.jpg", "View")</f>
        <v>View</v>
      </c>
      <c r="G86" t="s">
        <v>242</v>
      </c>
      <c r="H86" t="s">
        <v>22</v>
      </c>
      <c r="I86" t="s">
        <v>23</v>
      </c>
      <c r="J86" t="s">
        <v>152</v>
      </c>
      <c r="K86" t="str">
        <f>HYPERLINK("https://www.inaturalist.org/taxa/82342-Lonicera-maackii", "View")</f>
        <v>View</v>
      </c>
      <c r="L86" t="s">
        <v>24</v>
      </c>
      <c r="M86" t="s">
        <v>22</v>
      </c>
      <c r="N86" t="s">
        <v>25</v>
      </c>
      <c r="O86" t="s">
        <v>152</v>
      </c>
      <c r="P86">
        <v>17.12</v>
      </c>
      <c r="Q86">
        <v>97.76</v>
      </c>
      <c r="S86">
        <v>1</v>
      </c>
      <c r="U86" t="s">
        <v>395</v>
      </c>
      <c r="V86" t="s">
        <v>396</v>
      </c>
    </row>
    <row r="87" spans="1:23" x14ac:dyDescent="0.3">
      <c r="A87">
        <v>85</v>
      </c>
      <c r="B87" t="str">
        <f>HYPERLINK("https://imapinvasives.natureserve.org/imap/services/page/Presence/1046793.html", "View")</f>
        <v>View</v>
      </c>
      <c r="C87" t="s">
        <v>243</v>
      </c>
      <c r="D87">
        <v>1046793</v>
      </c>
      <c r="E87">
        <v>1050730</v>
      </c>
      <c r="F87" t="str">
        <f>HYPERLINK("http://imap3images.s3-website-us-east-1.amazonaws.com/1050730/p/imap_app_photo_1590177932722.jpg", "View")</f>
        <v>View</v>
      </c>
      <c r="G87" t="s">
        <v>244</v>
      </c>
      <c r="H87" t="s">
        <v>22</v>
      </c>
      <c r="I87" t="s">
        <v>23</v>
      </c>
      <c r="J87" t="s">
        <v>152</v>
      </c>
      <c r="K87" t="str">
        <f>HYPERLINK("https://www.inaturalist.org/taxa/82342-Lonicera-maackii", "View")</f>
        <v>View</v>
      </c>
      <c r="L87" t="s">
        <v>24</v>
      </c>
      <c r="M87" t="s">
        <v>22</v>
      </c>
      <c r="N87" t="s">
        <v>25</v>
      </c>
      <c r="O87" t="s">
        <v>152</v>
      </c>
      <c r="P87">
        <v>21.41</v>
      </c>
      <c r="Q87">
        <v>92.38</v>
      </c>
      <c r="S87">
        <v>1</v>
      </c>
      <c r="U87" t="s">
        <v>395</v>
      </c>
      <c r="V87" t="s">
        <v>396</v>
      </c>
    </row>
    <row r="88" spans="1:23" x14ac:dyDescent="0.3">
      <c r="A88">
        <v>86</v>
      </c>
      <c r="B88" t="str">
        <f>HYPERLINK("https://imapinvasives.natureserve.org/imap/services/page/Presence/1025096.html", "View")</f>
        <v>View</v>
      </c>
      <c r="C88" t="s">
        <v>245</v>
      </c>
      <c r="D88">
        <v>1025096</v>
      </c>
      <c r="E88">
        <v>1025852</v>
      </c>
      <c r="F88" t="str">
        <f>HYPERLINK("http://imap3images.s3-website-us-east-1.amazonaws.com/1025852/p/Photo2-20180921-153442.jpg", "View")</f>
        <v>View</v>
      </c>
      <c r="G88" t="s">
        <v>246</v>
      </c>
      <c r="H88" t="s">
        <v>22</v>
      </c>
      <c r="I88" t="s">
        <v>23</v>
      </c>
      <c r="J88" t="s">
        <v>152</v>
      </c>
      <c r="K88" t="str">
        <f>HYPERLINK("https://www.inaturalist.org/taxa/204237-Ampelopsis-glandulosa", "View")</f>
        <v>View</v>
      </c>
      <c r="L88" t="s">
        <v>247</v>
      </c>
      <c r="M88" t="s">
        <v>248</v>
      </c>
      <c r="N88" t="s">
        <v>249</v>
      </c>
      <c r="O88" t="s">
        <v>250</v>
      </c>
      <c r="P88">
        <v>82.28</v>
      </c>
      <c r="Q88">
        <v>12.87</v>
      </c>
      <c r="S88">
        <v>0</v>
      </c>
      <c r="U88" t="s">
        <v>399</v>
      </c>
      <c r="V88" t="s">
        <v>398</v>
      </c>
      <c r="W88" t="s">
        <v>405</v>
      </c>
    </row>
    <row r="89" spans="1:23" x14ac:dyDescent="0.3">
      <c r="A89">
        <v>87</v>
      </c>
      <c r="B89" t="str">
        <f>HYPERLINK("https://imapinvasives.natureserve.org/imap/services/page/Presence/1025086.html", "View")</f>
        <v>View</v>
      </c>
      <c r="C89" t="s">
        <v>251</v>
      </c>
      <c r="D89">
        <v>1025086</v>
      </c>
      <c r="E89">
        <v>1025842</v>
      </c>
      <c r="F89" t="str">
        <f>HYPERLINK("http://imap3images.s3-website-us-east-1.amazonaws.com/1025842/p/Photo1-20180921-182418.jpg", "View")</f>
        <v>View</v>
      </c>
      <c r="G89" t="s">
        <v>252</v>
      </c>
      <c r="H89" t="s">
        <v>22</v>
      </c>
      <c r="I89" t="s">
        <v>23</v>
      </c>
      <c r="J89" t="s">
        <v>152</v>
      </c>
      <c r="K89" t="str">
        <f>HYPERLINK("https://www.inaturalist.org/taxa/914922-Reynoutria-japonica", "View")</f>
        <v>View</v>
      </c>
      <c r="L89" t="s">
        <v>253</v>
      </c>
      <c r="M89" t="s">
        <v>254</v>
      </c>
      <c r="N89" t="s">
        <v>255</v>
      </c>
      <c r="O89" t="s">
        <v>256</v>
      </c>
      <c r="P89">
        <v>82.3</v>
      </c>
      <c r="Q89">
        <v>97.97</v>
      </c>
      <c r="S89">
        <v>0</v>
      </c>
      <c r="U89" t="s">
        <v>404</v>
      </c>
      <c r="V89" t="s">
        <v>398</v>
      </c>
      <c r="W89" t="s">
        <v>406</v>
      </c>
    </row>
    <row r="90" spans="1:23" x14ac:dyDescent="0.3">
      <c r="A90">
        <v>88</v>
      </c>
      <c r="B90" t="str">
        <f>HYPERLINK("https://imapinvasives.natureserve.org/imap/services/page/Presence/1023814.html", "View")</f>
        <v>View</v>
      </c>
      <c r="C90" t="s">
        <v>257</v>
      </c>
      <c r="D90">
        <v>1023814</v>
      </c>
      <c r="E90">
        <v>1024476</v>
      </c>
      <c r="F90" t="str">
        <f>HYPERLINK("http://imap3images.s3-website-us-east-1.amazonaws.com/1024476/p/Honeysuckle_Closeup.JPG", "View")</f>
        <v>View</v>
      </c>
      <c r="G90" t="s">
        <v>258</v>
      </c>
      <c r="H90" t="s">
        <v>22</v>
      </c>
      <c r="I90" t="s">
        <v>23</v>
      </c>
      <c r="J90" t="s">
        <v>152</v>
      </c>
      <c r="K90" t="str">
        <f>HYPERLINK("https://www.inaturalist.org/taxa/82342-Lonicera-maackii", "View")</f>
        <v>View</v>
      </c>
      <c r="L90" t="s">
        <v>24</v>
      </c>
      <c r="M90" t="s">
        <v>22</v>
      </c>
      <c r="N90" t="s">
        <v>25</v>
      </c>
      <c r="O90" t="s">
        <v>152</v>
      </c>
      <c r="P90">
        <v>9.23</v>
      </c>
      <c r="Q90">
        <v>0.16</v>
      </c>
      <c r="S90">
        <v>1</v>
      </c>
      <c r="U90" t="s">
        <v>395</v>
      </c>
      <c r="V90" t="s">
        <v>396</v>
      </c>
    </row>
    <row r="91" spans="1:23" x14ac:dyDescent="0.3">
      <c r="A91">
        <v>89</v>
      </c>
      <c r="B91" t="str">
        <f>HYPERLINK("https://imapinvasives.natureserve.org/imap/services/page/Presence/1023247.html", "View")</f>
        <v>View</v>
      </c>
      <c r="C91" t="s">
        <v>259</v>
      </c>
      <c r="D91">
        <v>1023247</v>
      </c>
      <c r="E91">
        <v>1023818</v>
      </c>
      <c r="F91" t="str">
        <f>HYPERLINK("http://imap3images.s3-website-us-east-1.amazonaws.com/1023818/p/Photo1-20180709-154855.jpg", "View")</f>
        <v>View</v>
      </c>
      <c r="G91" t="s">
        <v>260</v>
      </c>
      <c r="H91" t="s">
        <v>50</v>
      </c>
      <c r="I91" t="s">
        <v>114</v>
      </c>
      <c r="J91" t="s">
        <v>153</v>
      </c>
      <c r="K91" t="str">
        <f>HYPERLINK("https://www.inaturalist.org/taxa/77836-Lonicera-tatarica", "View")</f>
        <v>View</v>
      </c>
      <c r="L91" t="s">
        <v>49</v>
      </c>
      <c r="M91" t="s">
        <v>50</v>
      </c>
      <c r="N91" t="s">
        <v>51</v>
      </c>
      <c r="O91" t="s">
        <v>153</v>
      </c>
      <c r="P91">
        <v>3.05</v>
      </c>
      <c r="Q91">
        <v>0.31</v>
      </c>
      <c r="S91">
        <v>1</v>
      </c>
      <c r="U91" t="s">
        <v>395</v>
      </c>
      <c r="V91" t="s">
        <v>403</v>
      </c>
    </row>
    <row r="92" spans="1:23" x14ac:dyDescent="0.3">
      <c r="A92">
        <v>90</v>
      </c>
      <c r="B92" t="str">
        <f>HYPERLINK("https://imapinvasives.natureserve.org/imap/services/page/Presence/1023074.html", "View")</f>
        <v>View</v>
      </c>
      <c r="C92" t="s">
        <v>261</v>
      </c>
      <c r="D92">
        <v>1023074</v>
      </c>
      <c r="E92">
        <v>1023645</v>
      </c>
      <c r="F92" t="str">
        <f>HYPERLINK("http://imap3images.s3-website-us-east-1.amazonaws.com/1023645/p/Photo2-20180615-155943.jpg", "View")</f>
        <v>View</v>
      </c>
      <c r="G92" t="s">
        <v>262</v>
      </c>
      <c r="H92" t="s">
        <v>22</v>
      </c>
      <c r="I92" t="s">
        <v>23</v>
      </c>
      <c r="J92" t="s">
        <v>152</v>
      </c>
      <c r="K92" t="str">
        <f>HYPERLINK("https://www.inaturalist.org/taxa/82342-Lonicera-maackii", "View")</f>
        <v>View</v>
      </c>
      <c r="L92" t="s">
        <v>24</v>
      </c>
      <c r="M92" t="s">
        <v>22</v>
      </c>
      <c r="N92" t="s">
        <v>25</v>
      </c>
      <c r="O92" t="s">
        <v>152</v>
      </c>
      <c r="P92">
        <v>15.84</v>
      </c>
      <c r="Q92">
        <v>7.68</v>
      </c>
      <c r="S92">
        <v>1</v>
      </c>
      <c r="U92" t="s">
        <v>395</v>
      </c>
      <c r="V92" t="s">
        <v>400</v>
      </c>
    </row>
    <row r="93" spans="1:23" x14ac:dyDescent="0.3">
      <c r="A93">
        <v>91</v>
      </c>
      <c r="B93" t="str">
        <f>HYPERLINK("https://imapinvasives.natureserve.org/imap/services/page/Presence/1023073.html", "View")</f>
        <v>View</v>
      </c>
      <c r="C93" t="s">
        <v>263</v>
      </c>
      <c r="D93">
        <v>1023073</v>
      </c>
      <c r="E93">
        <v>1023644</v>
      </c>
      <c r="F93" t="str">
        <f>HYPERLINK("http://imap3images.s3-website-us-east-1.amazonaws.com/1023644/p/Photo2-20180615-160825.jpg", "View")</f>
        <v>View</v>
      </c>
      <c r="G93" t="s">
        <v>264</v>
      </c>
      <c r="H93" t="s">
        <v>22</v>
      </c>
      <c r="I93" t="s">
        <v>23</v>
      </c>
      <c r="J93" t="s">
        <v>152</v>
      </c>
      <c r="K93" t="str">
        <f>HYPERLINK("https://www.inaturalist.org/taxa/82342-Lonicera-maackii", "View")</f>
        <v>View</v>
      </c>
      <c r="L93" t="s">
        <v>24</v>
      </c>
      <c r="M93" t="s">
        <v>22</v>
      </c>
      <c r="N93" t="s">
        <v>25</v>
      </c>
      <c r="O93" t="s">
        <v>152</v>
      </c>
      <c r="P93">
        <v>15.84</v>
      </c>
      <c r="Q93">
        <v>11.56</v>
      </c>
      <c r="S93">
        <v>1</v>
      </c>
      <c r="U93" t="s">
        <v>395</v>
      </c>
      <c r="V93" t="s">
        <v>400</v>
      </c>
    </row>
    <row r="94" spans="1:23" x14ac:dyDescent="0.3">
      <c r="A94">
        <v>92</v>
      </c>
      <c r="B94" t="str">
        <f>HYPERLINK("https://imapinvasives.natureserve.org/imap/services/page/Presence/1017380.html", "View")</f>
        <v>View</v>
      </c>
      <c r="C94" t="s">
        <v>265</v>
      </c>
      <c r="D94">
        <v>1017380</v>
      </c>
      <c r="E94">
        <v>1017873</v>
      </c>
      <c r="F94" t="str">
        <f>HYPERLINK("http://imap3images.s3-website-us-east-1.amazonaws.com/1017873/p/imap_app_photo_1560854781107.jpg", "View")</f>
        <v>View</v>
      </c>
      <c r="G94" t="s">
        <v>266</v>
      </c>
      <c r="H94" t="s">
        <v>125</v>
      </c>
      <c r="I94" t="s">
        <v>126</v>
      </c>
      <c r="J94" t="s">
        <v>168</v>
      </c>
      <c r="K94" t="str">
        <f>HYPERLINK("https://www.inaturalist.org/taxa/126145-Lonicera-hirsuta", "View")</f>
        <v>View</v>
      </c>
      <c r="L94" t="s">
        <v>267</v>
      </c>
      <c r="M94" t="s">
        <v>268</v>
      </c>
      <c r="N94" t="s">
        <v>269</v>
      </c>
      <c r="O94" t="s">
        <v>270</v>
      </c>
      <c r="P94">
        <v>1.6</v>
      </c>
      <c r="Q94">
        <v>4.34</v>
      </c>
      <c r="S94">
        <v>0</v>
      </c>
      <c r="U94" t="s">
        <v>397</v>
      </c>
      <c r="V94" t="s">
        <v>398</v>
      </c>
    </row>
    <row r="95" spans="1:23" x14ac:dyDescent="0.3">
      <c r="A95">
        <v>93</v>
      </c>
      <c r="B95" t="str">
        <f>HYPERLINK("https://imapinvasives.natureserve.org/imap/services/page/Presence/1017379.html", "View")</f>
        <v>View</v>
      </c>
      <c r="C95" t="s">
        <v>271</v>
      </c>
      <c r="D95">
        <v>1017379</v>
      </c>
      <c r="E95">
        <v>1017872</v>
      </c>
      <c r="F95" t="str">
        <f>HYPERLINK("http://imap3images.s3-website-us-east-1.amazonaws.com/1017872/p/imap_app_photo_1560854774179.jpg", "View")</f>
        <v>View</v>
      </c>
      <c r="G95" t="s">
        <v>272</v>
      </c>
      <c r="H95" t="s">
        <v>125</v>
      </c>
      <c r="I95" t="s">
        <v>126</v>
      </c>
      <c r="J95" t="s">
        <v>168</v>
      </c>
      <c r="K95" t="str">
        <f>HYPERLINK("https://www.inaturalist.org/taxa/82342-Lonicera-maackii", "View")</f>
        <v>View</v>
      </c>
      <c r="L95" t="s">
        <v>24</v>
      </c>
      <c r="M95" t="s">
        <v>22</v>
      </c>
      <c r="N95" t="s">
        <v>25</v>
      </c>
      <c r="O95" t="s">
        <v>152</v>
      </c>
      <c r="P95">
        <v>14.41</v>
      </c>
      <c r="Q95">
        <v>90.05</v>
      </c>
      <c r="S95">
        <v>1</v>
      </c>
      <c r="U95" t="s">
        <v>395</v>
      </c>
      <c r="V95" t="s">
        <v>396</v>
      </c>
    </row>
    <row r="96" spans="1:23" x14ac:dyDescent="0.3">
      <c r="A96">
        <v>94</v>
      </c>
      <c r="B96" t="str">
        <f>HYPERLINK("https://imapinvasives.natureserve.org/imap/services/page/Presence/1016314.html", "View")</f>
        <v>View</v>
      </c>
      <c r="C96" t="s">
        <v>273</v>
      </c>
      <c r="D96">
        <v>1016314</v>
      </c>
      <c r="E96">
        <v>1016755</v>
      </c>
      <c r="F96" t="str">
        <f>HYPERLINK("http://imap3images.s3-website-us-east-1.amazonaws.com/1016755/p/DSCN7746.JPG", "View")</f>
        <v>View</v>
      </c>
      <c r="G96" t="s">
        <v>274</v>
      </c>
      <c r="H96" t="s">
        <v>125</v>
      </c>
      <c r="I96" t="s">
        <v>126</v>
      </c>
      <c r="J96" t="s">
        <v>168</v>
      </c>
      <c r="K96" t="str">
        <f>HYPERLINK("https://www.inaturalist.org/taxa/59773-Lonicera-morrowii", "View")</f>
        <v>View</v>
      </c>
      <c r="L96" t="s">
        <v>30</v>
      </c>
      <c r="M96" t="s">
        <v>31</v>
      </c>
      <c r="N96" t="s">
        <v>32</v>
      </c>
      <c r="O96" t="s">
        <v>154</v>
      </c>
      <c r="P96">
        <v>13.97</v>
      </c>
      <c r="Q96">
        <v>47.03</v>
      </c>
      <c r="S96">
        <v>1</v>
      </c>
      <c r="U96" t="s">
        <v>395</v>
      </c>
      <c r="V96" t="s">
        <v>396</v>
      </c>
    </row>
    <row r="97" spans="1:22" x14ac:dyDescent="0.3">
      <c r="A97">
        <v>95</v>
      </c>
      <c r="B97" t="str">
        <f>HYPERLINK("https://imapinvasives.natureserve.org/imap/services/page/Presence/1016311.html", "View")</f>
        <v>View</v>
      </c>
      <c r="C97" t="s">
        <v>275</v>
      </c>
      <c r="D97">
        <v>1016311</v>
      </c>
      <c r="E97">
        <v>1016752</v>
      </c>
      <c r="F97" t="str">
        <f>HYPERLINK("http://imap3images.s3-website-us-east-1.amazonaws.com/1016752/p/DSCN7743.JPG", "View")</f>
        <v>View</v>
      </c>
      <c r="G97" t="s">
        <v>276</v>
      </c>
      <c r="H97" t="s">
        <v>125</v>
      </c>
      <c r="I97" t="s">
        <v>126</v>
      </c>
      <c r="J97" t="s">
        <v>168</v>
      </c>
      <c r="K97" t="str">
        <f>HYPERLINK("https://www.inaturalist.org/taxa/78882-Rosa-multiflora", "View")</f>
        <v>View</v>
      </c>
      <c r="L97" t="s">
        <v>277</v>
      </c>
      <c r="M97" t="s">
        <v>278</v>
      </c>
      <c r="N97" t="s">
        <v>279</v>
      </c>
      <c r="O97" t="s">
        <v>280</v>
      </c>
      <c r="P97">
        <v>44.91</v>
      </c>
      <c r="Q97">
        <v>23.53</v>
      </c>
      <c r="S97">
        <v>0</v>
      </c>
      <c r="U97" t="s">
        <v>399</v>
      </c>
      <c r="V97" t="s">
        <v>401</v>
      </c>
    </row>
    <row r="98" spans="1:22" x14ac:dyDescent="0.3">
      <c r="A98">
        <v>96</v>
      </c>
      <c r="B98" t="str">
        <f>HYPERLINK("https://imapinvasives.natureserve.org/imap/services/page/Presence/1016299.html", "View")</f>
        <v>View</v>
      </c>
      <c r="C98" t="s">
        <v>281</v>
      </c>
      <c r="D98">
        <v>1016299</v>
      </c>
      <c r="E98">
        <v>1016740</v>
      </c>
      <c r="F98" t="str">
        <f>HYPERLINK("http://imap3images.s3-website-us-east-1.amazonaws.com/1016740/p/DSCN7729.JPG", "View")</f>
        <v>View</v>
      </c>
      <c r="G98" t="s">
        <v>282</v>
      </c>
      <c r="H98" t="s">
        <v>50</v>
      </c>
      <c r="I98" t="s">
        <v>114</v>
      </c>
      <c r="J98" t="s">
        <v>153</v>
      </c>
      <c r="K98" t="str">
        <f>HYPERLINK("https://www.inaturalist.org/taxa/77836-Lonicera-tatarica", "View")</f>
        <v>View</v>
      </c>
      <c r="L98" t="s">
        <v>49</v>
      </c>
      <c r="M98" t="s">
        <v>50</v>
      </c>
      <c r="N98" t="s">
        <v>51</v>
      </c>
      <c r="O98" t="s">
        <v>153</v>
      </c>
      <c r="P98">
        <v>15.92</v>
      </c>
      <c r="Q98">
        <v>1.38</v>
      </c>
      <c r="S98">
        <v>1</v>
      </c>
      <c r="U98" t="s">
        <v>395</v>
      </c>
      <c r="V98" t="s">
        <v>401</v>
      </c>
    </row>
    <row r="99" spans="1:22" x14ac:dyDescent="0.3">
      <c r="A99">
        <v>97</v>
      </c>
      <c r="B99" t="str">
        <f>HYPERLINK("https://imapinvasives.natureserve.org/imap/services/page/Presence/1016259.html", "View")</f>
        <v>View</v>
      </c>
      <c r="C99" t="s">
        <v>283</v>
      </c>
      <c r="D99">
        <v>1016259</v>
      </c>
      <c r="E99">
        <v>1016700</v>
      </c>
      <c r="F99" t="str">
        <f>HYPERLINK("http://imap3images.s3-website-us-east-1.amazonaws.com/1016700/p/imap_app_photo_1560028949577.jpg", "View")</f>
        <v>View</v>
      </c>
      <c r="G99" t="s">
        <v>284</v>
      </c>
      <c r="H99" t="s">
        <v>22</v>
      </c>
      <c r="I99" t="s">
        <v>23</v>
      </c>
      <c r="J99" t="s">
        <v>152</v>
      </c>
      <c r="K99" t="str">
        <f>HYPERLINK("https://www.inaturalist.org/taxa/59773-Lonicera-morrowii", "View")</f>
        <v>View</v>
      </c>
      <c r="L99" t="s">
        <v>30</v>
      </c>
      <c r="M99" t="s">
        <v>31</v>
      </c>
      <c r="N99" t="s">
        <v>32</v>
      </c>
      <c r="O99" t="s">
        <v>154</v>
      </c>
      <c r="P99">
        <v>17</v>
      </c>
      <c r="Q99">
        <v>99.25</v>
      </c>
      <c r="S99">
        <v>1</v>
      </c>
      <c r="U99" t="s">
        <v>395</v>
      </c>
      <c r="V99" t="s">
        <v>396</v>
      </c>
    </row>
    <row r="100" spans="1:22" x14ac:dyDescent="0.3">
      <c r="A100">
        <v>98</v>
      </c>
      <c r="B100" t="str">
        <f>HYPERLINK("https://imapinvasives.natureserve.org/imap/services/page/Presence/1015203.html", "View")</f>
        <v>View</v>
      </c>
      <c r="C100" t="s">
        <v>285</v>
      </c>
      <c r="D100">
        <v>1015203</v>
      </c>
      <c r="E100">
        <v>1015546</v>
      </c>
      <c r="F100" t="str">
        <f>HYPERLINK("http://imap3images.s3-website-us-east-1.amazonaws.com/1015546/p/DSCN8514.JPG", "View")</f>
        <v>View</v>
      </c>
      <c r="G100" t="s">
        <v>286</v>
      </c>
      <c r="H100" t="s">
        <v>125</v>
      </c>
      <c r="I100" t="s">
        <v>126</v>
      </c>
      <c r="J100" t="s">
        <v>168</v>
      </c>
      <c r="K100" t="str">
        <f>HYPERLINK("https://www.inaturalist.org/taxa/77836-Lonicera-tatarica", "View")</f>
        <v>View</v>
      </c>
      <c r="L100" t="s">
        <v>49</v>
      </c>
      <c r="M100" t="s">
        <v>50</v>
      </c>
      <c r="N100" t="s">
        <v>51</v>
      </c>
      <c r="O100" t="s">
        <v>153</v>
      </c>
      <c r="P100">
        <v>9.33</v>
      </c>
      <c r="Q100">
        <v>49.23</v>
      </c>
      <c r="S100">
        <v>1</v>
      </c>
      <c r="U100" t="s">
        <v>395</v>
      </c>
      <c r="V100" t="s">
        <v>396</v>
      </c>
    </row>
    <row r="101" spans="1:22" x14ac:dyDescent="0.3">
      <c r="A101">
        <v>99</v>
      </c>
      <c r="B101" t="str">
        <f>HYPERLINK("https://imapinvasives.natureserve.org/imap/services/page/Presence/1015141.html", "View")</f>
        <v>View</v>
      </c>
      <c r="C101" t="s">
        <v>287</v>
      </c>
      <c r="D101">
        <v>1015141</v>
      </c>
      <c r="E101">
        <v>1015479</v>
      </c>
      <c r="F101" t="str">
        <f>HYPERLINK("http://imap3images.s3-website-us-east-1.amazonaws.com/1015479/p/DSCN8476.JPG", "View")</f>
        <v>View</v>
      </c>
      <c r="G101" t="s">
        <v>288</v>
      </c>
      <c r="H101" t="s">
        <v>125</v>
      </c>
      <c r="I101" t="s">
        <v>126</v>
      </c>
      <c r="J101" t="s">
        <v>168</v>
      </c>
      <c r="K101" t="str">
        <f>HYPERLINK("https://www.inaturalist.org/taxa/77836-Lonicera-tatarica", "View")</f>
        <v>View</v>
      </c>
      <c r="L101" t="s">
        <v>49</v>
      </c>
      <c r="M101" t="s">
        <v>50</v>
      </c>
      <c r="N101" t="s">
        <v>51</v>
      </c>
      <c r="O101" t="s">
        <v>153</v>
      </c>
      <c r="P101">
        <v>9.33</v>
      </c>
      <c r="Q101">
        <v>74.900000000000006</v>
      </c>
      <c r="S101">
        <v>1</v>
      </c>
      <c r="U101" t="s">
        <v>395</v>
      </c>
      <c r="V101" t="s">
        <v>396</v>
      </c>
    </row>
    <row r="102" spans="1:22" x14ac:dyDescent="0.3">
      <c r="A102">
        <v>100</v>
      </c>
      <c r="B102" t="str">
        <f>HYPERLINK("https://imapinvasives.natureserve.org/imap/services/page/Presence/1015139.html", "View")</f>
        <v>View</v>
      </c>
      <c r="C102" t="s">
        <v>289</v>
      </c>
      <c r="D102">
        <v>1015139</v>
      </c>
      <c r="E102">
        <v>1015477</v>
      </c>
      <c r="F102" t="str">
        <f>HYPERLINK("http://imap3images.s3-website-us-east-1.amazonaws.com/1015477/p/DSCN8475.JPG", "View")</f>
        <v>View</v>
      </c>
      <c r="G102" t="s">
        <v>290</v>
      </c>
      <c r="H102" t="s">
        <v>50</v>
      </c>
      <c r="I102" t="s">
        <v>114</v>
      </c>
      <c r="J102" t="s">
        <v>153</v>
      </c>
      <c r="K102" t="str">
        <f>HYPERLINK("https://www.inaturalist.org/taxa/77836-Lonicera-tatarica", "View")</f>
        <v>View</v>
      </c>
      <c r="L102" t="s">
        <v>49</v>
      </c>
      <c r="M102" t="s">
        <v>50</v>
      </c>
      <c r="N102" t="s">
        <v>51</v>
      </c>
      <c r="O102" t="s">
        <v>153</v>
      </c>
      <c r="P102">
        <v>9.33</v>
      </c>
      <c r="Q102">
        <v>86.42</v>
      </c>
      <c r="S102">
        <v>1</v>
      </c>
      <c r="U102" t="s">
        <v>395</v>
      </c>
      <c r="V102" t="s">
        <v>396</v>
      </c>
    </row>
    <row r="103" spans="1:22" x14ac:dyDescent="0.3">
      <c r="A103">
        <v>101</v>
      </c>
      <c r="B103" t="str">
        <f>HYPERLINK("https://imapinvasives.natureserve.org/imap/services/page/Presence/1015091.html", "View")</f>
        <v>View</v>
      </c>
      <c r="C103" t="s">
        <v>291</v>
      </c>
      <c r="D103">
        <v>1015091</v>
      </c>
      <c r="E103">
        <v>1015423</v>
      </c>
      <c r="F103" t="str">
        <f>HYPERLINK("http://imap3images.s3-website-us-east-1.amazonaws.com/1015423/p/DSCN7561.JPG", "View")</f>
        <v>View</v>
      </c>
      <c r="G103" t="s">
        <v>292</v>
      </c>
      <c r="H103" t="s">
        <v>125</v>
      </c>
      <c r="I103" t="s">
        <v>126</v>
      </c>
      <c r="J103" t="s">
        <v>168</v>
      </c>
      <c r="K103" t="str">
        <f>HYPERLINK("https://www.inaturalist.org/taxa/59773-Lonicera-morrowii", "View")</f>
        <v>View</v>
      </c>
      <c r="L103" t="s">
        <v>30</v>
      </c>
      <c r="M103" t="s">
        <v>31</v>
      </c>
      <c r="N103" t="s">
        <v>32</v>
      </c>
      <c r="O103" t="s">
        <v>154</v>
      </c>
      <c r="P103">
        <v>11.96</v>
      </c>
      <c r="Q103">
        <v>90.44</v>
      </c>
      <c r="S103">
        <v>1</v>
      </c>
      <c r="U103" t="s">
        <v>395</v>
      </c>
      <c r="V103" t="s">
        <v>396</v>
      </c>
    </row>
    <row r="104" spans="1:22" x14ac:dyDescent="0.3">
      <c r="A104">
        <v>102</v>
      </c>
      <c r="B104" t="str">
        <f>HYPERLINK("https://imapinvasives.natureserve.org/imap/services/page/Presence/1015077.html", "View")</f>
        <v>View</v>
      </c>
      <c r="C104" t="s">
        <v>293</v>
      </c>
      <c r="D104">
        <v>1015077</v>
      </c>
      <c r="E104">
        <v>1015409</v>
      </c>
      <c r="F104" t="str">
        <f>HYPERLINK("http://imap3images.s3-website-us-east-1.amazonaws.com/1015409/p/DSCN8605.JPG", "View")</f>
        <v>View</v>
      </c>
      <c r="G104" t="s">
        <v>294</v>
      </c>
      <c r="H104" t="s">
        <v>125</v>
      </c>
      <c r="I104" t="s">
        <v>126</v>
      </c>
      <c r="J104" t="s">
        <v>168</v>
      </c>
      <c r="K104" t="str">
        <f>HYPERLINK("https://www.inaturalist.org/taxa/77836-Lonicera-tatarica", "View")</f>
        <v>View</v>
      </c>
      <c r="L104" t="s">
        <v>49</v>
      </c>
      <c r="M104" t="s">
        <v>50</v>
      </c>
      <c r="N104" t="s">
        <v>51</v>
      </c>
      <c r="O104" t="s">
        <v>153</v>
      </c>
      <c r="P104">
        <v>9.33</v>
      </c>
      <c r="Q104">
        <v>44.59</v>
      </c>
      <c r="S104">
        <v>1</v>
      </c>
      <c r="U104" t="s">
        <v>395</v>
      </c>
      <c r="V104" t="s">
        <v>402</v>
      </c>
    </row>
    <row r="105" spans="1:22" x14ac:dyDescent="0.3">
      <c r="A105">
        <v>103</v>
      </c>
      <c r="B105" t="str">
        <f>HYPERLINK("https://imapinvasives.natureserve.org/imap/services/page/Presence/1015069.html", "View")</f>
        <v>View</v>
      </c>
      <c r="C105" t="s">
        <v>295</v>
      </c>
      <c r="D105">
        <v>1015069</v>
      </c>
      <c r="E105">
        <v>1015401</v>
      </c>
      <c r="F105" t="str">
        <f>HYPERLINK("http://imap3images.s3-website-us-east-1.amazonaws.com/1015401/p/DSCN7451.JPG", "View")</f>
        <v>View</v>
      </c>
      <c r="G105" t="s">
        <v>296</v>
      </c>
      <c r="H105" t="s">
        <v>50</v>
      </c>
      <c r="I105" t="s">
        <v>114</v>
      </c>
      <c r="J105" t="s">
        <v>153</v>
      </c>
      <c r="K105" t="str">
        <f>HYPERLINK("https://www.inaturalist.org/taxa/77836-Lonicera-tatarica", "View")</f>
        <v>View</v>
      </c>
      <c r="L105" t="s">
        <v>49</v>
      </c>
      <c r="M105" t="s">
        <v>50</v>
      </c>
      <c r="N105" t="s">
        <v>51</v>
      </c>
      <c r="O105" t="s">
        <v>153</v>
      </c>
      <c r="P105">
        <v>4.7300000000000004</v>
      </c>
      <c r="Q105">
        <v>95.29</v>
      </c>
      <c r="S105">
        <v>1</v>
      </c>
      <c r="U105" t="s">
        <v>395</v>
      </c>
      <c r="V105" t="s">
        <v>396</v>
      </c>
    </row>
    <row r="106" spans="1:22" x14ac:dyDescent="0.3">
      <c r="A106">
        <v>104</v>
      </c>
      <c r="B106" t="str">
        <f>HYPERLINK("https://imapinvasives.natureserve.org/imap/services/page/Presence/1015045.html", "View")</f>
        <v>View</v>
      </c>
      <c r="C106" t="s">
        <v>297</v>
      </c>
      <c r="D106">
        <v>1015045</v>
      </c>
      <c r="E106">
        <v>1015377</v>
      </c>
      <c r="F106" t="str">
        <f>HYPERLINK("http://imap3images.s3-website-us-east-1.amazonaws.com/1015377/p/DSCN8583.JPG", "View")</f>
        <v>View</v>
      </c>
      <c r="G106" t="s">
        <v>298</v>
      </c>
      <c r="H106" t="s">
        <v>125</v>
      </c>
      <c r="I106" t="s">
        <v>126</v>
      </c>
      <c r="J106" t="s">
        <v>168</v>
      </c>
      <c r="K106" t="str">
        <f>HYPERLINK("https://www.inaturalist.org/taxa/77836-Lonicera-tatarica", "View")</f>
        <v>View</v>
      </c>
      <c r="L106" t="s">
        <v>49</v>
      </c>
      <c r="M106" t="s">
        <v>50</v>
      </c>
      <c r="N106" t="s">
        <v>51</v>
      </c>
      <c r="O106" t="s">
        <v>153</v>
      </c>
      <c r="P106">
        <v>9.33</v>
      </c>
      <c r="Q106">
        <v>98.1</v>
      </c>
      <c r="S106">
        <v>1</v>
      </c>
      <c r="U106" t="s">
        <v>395</v>
      </c>
      <c r="V106" t="s">
        <v>396</v>
      </c>
    </row>
    <row r="107" spans="1:22" x14ac:dyDescent="0.3">
      <c r="A107">
        <v>105</v>
      </c>
      <c r="B107" t="str">
        <f>HYPERLINK("https://imapinvasives.natureserve.org/imap/services/page/Presence/1014098.html", "View")</f>
        <v>View</v>
      </c>
      <c r="C107" t="s">
        <v>299</v>
      </c>
      <c r="D107">
        <v>1014098</v>
      </c>
      <c r="E107">
        <v>1014362</v>
      </c>
      <c r="F107" t="str">
        <f>HYPERLINK("http://imap3images.s3-website-us-east-1.amazonaws.com/1014362/p/imap_app_photo_1558537253356.jpg", "View")</f>
        <v>View</v>
      </c>
      <c r="G107" t="s">
        <v>300</v>
      </c>
      <c r="H107" t="s">
        <v>50</v>
      </c>
      <c r="I107" t="s">
        <v>114</v>
      </c>
      <c r="J107" t="s">
        <v>153</v>
      </c>
      <c r="K107" t="str">
        <f>HYPERLINK("https://www.inaturalist.org/taxa/77836-Lonicera-tatarica", "View")</f>
        <v>View</v>
      </c>
      <c r="L107" t="s">
        <v>49</v>
      </c>
      <c r="M107" t="s">
        <v>50</v>
      </c>
      <c r="N107" t="s">
        <v>51</v>
      </c>
      <c r="O107" t="s">
        <v>153</v>
      </c>
      <c r="P107">
        <v>10.46</v>
      </c>
      <c r="Q107">
        <v>93.26</v>
      </c>
      <c r="S107">
        <v>1</v>
      </c>
      <c r="U107" t="s">
        <v>395</v>
      </c>
      <c r="V107" t="s">
        <v>396</v>
      </c>
    </row>
    <row r="108" spans="1:22" x14ac:dyDescent="0.3">
      <c r="A108">
        <v>106</v>
      </c>
      <c r="B108" t="str">
        <f>HYPERLINK("https://imapinvasives.natureserve.org/imap/services/page/Presence/1014026.html", "View")</f>
        <v>View</v>
      </c>
      <c r="C108" t="s">
        <v>301</v>
      </c>
      <c r="D108">
        <v>1014026</v>
      </c>
      <c r="E108">
        <v>1014290</v>
      </c>
      <c r="F108" t="str">
        <f>HYPERLINK("http://imap3images.s3-website-us-east-1.amazonaws.com/1014290/p/imap_app_photo_1558474128453.jpg", "View")</f>
        <v>View</v>
      </c>
      <c r="G108" t="s">
        <v>302</v>
      </c>
      <c r="H108" t="s">
        <v>22</v>
      </c>
      <c r="I108" t="s">
        <v>23</v>
      </c>
      <c r="J108" t="s">
        <v>152</v>
      </c>
      <c r="K108" t="str">
        <f>HYPERLINK("https://www.inaturalist.org/taxa/82342-Lonicera-maackii", "View")</f>
        <v>View</v>
      </c>
      <c r="L108" t="s">
        <v>24</v>
      </c>
      <c r="M108" t="s">
        <v>22</v>
      </c>
      <c r="N108" t="s">
        <v>25</v>
      </c>
      <c r="O108" t="s">
        <v>152</v>
      </c>
      <c r="P108">
        <v>17.12</v>
      </c>
      <c r="Q108">
        <v>0.17</v>
      </c>
      <c r="S108">
        <v>1</v>
      </c>
      <c r="U108" t="s">
        <v>395</v>
      </c>
      <c r="V108" t="s">
        <v>396</v>
      </c>
    </row>
    <row r="109" spans="1:22" x14ac:dyDescent="0.3">
      <c r="A109">
        <v>107</v>
      </c>
      <c r="B109" t="str">
        <f>HYPERLINK("https://imapinvasives.natureserve.org/imap/services/page/Presence/1014021.html", "View")</f>
        <v>View</v>
      </c>
      <c r="C109" t="s">
        <v>303</v>
      </c>
      <c r="D109">
        <v>1014021</v>
      </c>
      <c r="E109">
        <v>1014285</v>
      </c>
      <c r="F109" t="str">
        <f>HYPERLINK("http://imap3images.s3-website-us-east-1.amazonaws.com/1014285/p/imap_app_photo_1558474064534.jpg", "View")</f>
        <v>View</v>
      </c>
      <c r="G109" t="s">
        <v>304</v>
      </c>
      <c r="H109" t="s">
        <v>22</v>
      </c>
      <c r="I109" t="s">
        <v>23</v>
      </c>
      <c r="J109" t="s">
        <v>152</v>
      </c>
      <c r="K109" t="str">
        <f>HYPERLINK("https://www.inaturalist.org/taxa/82342-Lonicera-maackii", "View")</f>
        <v>View</v>
      </c>
      <c r="L109" t="s">
        <v>24</v>
      </c>
      <c r="M109" t="s">
        <v>22</v>
      </c>
      <c r="N109" t="s">
        <v>25</v>
      </c>
      <c r="O109" t="s">
        <v>152</v>
      </c>
      <c r="P109">
        <v>17.12</v>
      </c>
      <c r="Q109">
        <v>0.75</v>
      </c>
      <c r="S109">
        <v>1</v>
      </c>
      <c r="U109" t="s">
        <v>395</v>
      </c>
      <c r="V109" t="s">
        <v>396</v>
      </c>
    </row>
    <row r="110" spans="1:22" x14ac:dyDescent="0.3">
      <c r="A110">
        <v>108</v>
      </c>
      <c r="B110" t="str">
        <f>HYPERLINK("https://imapinvasives.natureserve.org/imap/services/page/Presence/1014018.html", "View")</f>
        <v>View</v>
      </c>
      <c r="C110" t="s">
        <v>305</v>
      </c>
      <c r="D110">
        <v>1014018</v>
      </c>
      <c r="E110">
        <v>1014282</v>
      </c>
      <c r="F110" t="str">
        <f>HYPERLINK("http://imap3images.s3-website-us-east-1.amazonaws.com/1014282/p/imap_app_photo_1558474028882.jpg", "View")</f>
        <v>View</v>
      </c>
      <c r="G110" t="s">
        <v>306</v>
      </c>
      <c r="H110" t="s">
        <v>22</v>
      </c>
      <c r="I110" t="s">
        <v>23</v>
      </c>
      <c r="J110" t="s">
        <v>152</v>
      </c>
      <c r="K110" t="str">
        <f>HYPERLINK("https://www.inaturalist.org/taxa/82342-Lonicera-maackii", "View")</f>
        <v>View</v>
      </c>
      <c r="L110" t="s">
        <v>24</v>
      </c>
      <c r="M110" t="s">
        <v>22</v>
      </c>
      <c r="N110" t="s">
        <v>25</v>
      </c>
      <c r="O110" t="s">
        <v>152</v>
      </c>
      <c r="P110">
        <v>17.12</v>
      </c>
      <c r="Q110">
        <v>0.68</v>
      </c>
      <c r="S110">
        <v>1</v>
      </c>
      <c r="U110" t="s">
        <v>395</v>
      </c>
      <c r="V110" t="s">
        <v>396</v>
      </c>
    </row>
    <row r="111" spans="1:22" x14ac:dyDescent="0.3">
      <c r="A111">
        <v>109</v>
      </c>
      <c r="B111" t="str">
        <f>HYPERLINK("https://imapinvasives.natureserve.org/imap/services/page/Presence/1013920.html", "View")</f>
        <v>View</v>
      </c>
      <c r="C111" t="s">
        <v>307</v>
      </c>
      <c r="D111">
        <v>1013920</v>
      </c>
      <c r="E111">
        <v>1014184</v>
      </c>
      <c r="F111" t="str">
        <f>HYPERLINK("http://imap3images.s3-website-us-east-1.amazonaws.com/1014184/p/imap_app_photo_1558469691282.jpg", "View")</f>
        <v>View</v>
      </c>
      <c r="G111" t="s">
        <v>308</v>
      </c>
      <c r="H111" t="s">
        <v>22</v>
      </c>
      <c r="I111" t="s">
        <v>23</v>
      </c>
      <c r="J111" t="s">
        <v>152</v>
      </c>
      <c r="K111" t="str">
        <f>HYPERLINK("https://www.inaturalist.org/taxa/82342-Lonicera-maackii", "View")</f>
        <v>View</v>
      </c>
      <c r="L111" t="s">
        <v>24</v>
      </c>
      <c r="M111" t="s">
        <v>22</v>
      </c>
      <c r="N111" t="s">
        <v>25</v>
      </c>
      <c r="O111" t="s">
        <v>152</v>
      </c>
      <c r="P111">
        <v>17.12</v>
      </c>
      <c r="Q111">
        <v>80.83</v>
      </c>
      <c r="S111">
        <v>1</v>
      </c>
      <c r="U111" t="s">
        <v>395</v>
      </c>
      <c r="V111" t="s">
        <v>396</v>
      </c>
    </row>
    <row r="112" spans="1:22" x14ac:dyDescent="0.3">
      <c r="A112">
        <v>110</v>
      </c>
      <c r="B112" t="str">
        <f>HYPERLINK("https://imapinvasives.natureserve.org/imap/services/page/Presence/531224.html", "View")</f>
        <v>View</v>
      </c>
      <c r="C112" t="s">
        <v>309</v>
      </c>
      <c r="D112">
        <v>531224</v>
      </c>
      <c r="E112">
        <v>531224</v>
      </c>
      <c r="F112" t="str">
        <f>HYPERLINK("http://imap3images.s3-website-us-east-1.amazonaws.com/531224/p/photourl1_2018_09_19_brirogers_547kfzh1.jpg", "View")</f>
        <v>View</v>
      </c>
      <c r="G112" t="s">
        <v>310</v>
      </c>
      <c r="H112" t="s">
        <v>50</v>
      </c>
      <c r="I112" t="s">
        <v>114</v>
      </c>
      <c r="J112" t="s">
        <v>153</v>
      </c>
      <c r="K112" t="str">
        <f>HYPERLINK("https://www.inaturalist.org/taxa/54811-Rhamnus-cathartica", "View")</f>
        <v>View</v>
      </c>
      <c r="L112" t="s">
        <v>311</v>
      </c>
      <c r="M112" t="s">
        <v>312</v>
      </c>
      <c r="N112" t="s">
        <v>313</v>
      </c>
      <c r="O112" t="s">
        <v>314</v>
      </c>
      <c r="P112">
        <v>43.31</v>
      </c>
      <c r="Q112">
        <v>8.9499999999999993</v>
      </c>
      <c r="S112">
        <v>0</v>
      </c>
      <c r="U112" t="s">
        <v>399</v>
      </c>
      <c r="V112" t="s">
        <v>400</v>
      </c>
    </row>
    <row r="113" spans="1:23" x14ac:dyDescent="0.3">
      <c r="A113">
        <v>111</v>
      </c>
      <c r="B113" t="str">
        <f>HYPERLINK("https://imapinvasives.natureserve.org/imap/services/page/Presence/528168.html", "View")</f>
        <v>View</v>
      </c>
      <c r="C113" t="s">
        <v>315</v>
      </c>
      <c r="D113">
        <v>528168</v>
      </c>
      <c r="E113">
        <v>528168</v>
      </c>
      <c r="F113" t="str">
        <f>HYPERLINK("http://imap3images.s3-website-us-east-1.amazonaws.com/528168/p/photourl1_2018_07_09_lexlill_gu07hl74.jpg", "View")</f>
        <v>View</v>
      </c>
      <c r="G113" t="s">
        <v>316</v>
      </c>
      <c r="H113" t="s">
        <v>22</v>
      </c>
      <c r="I113" t="s">
        <v>23</v>
      </c>
      <c r="J113" t="s">
        <v>152</v>
      </c>
      <c r="K113" t="str">
        <f>HYPERLINK("https://www.inaturalist.org/taxa/82342-Lonicera-maackii", "View")</f>
        <v>View</v>
      </c>
      <c r="L113" t="s">
        <v>24</v>
      </c>
      <c r="M113" t="s">
        <v>22</v>
      </c>
      <c r="N113" t="s">
        <v>25</v>
      </c>
      <c r="O113" t="s">
        <v>152</v>
      </c>
      <c r="P113">
        <v>17.12</v>
      </c>
      <c r="Q113">
        <v>52.58</v>
      </c>
      <c r="S113">
        <v>1</v>
      </c>
      <c r="U113" t="s">
        <v>395</v>
      </c>
      <c r="V113" t="s">
        <v>396</v>
      </c>
    </row>
    <row r="114" spans="1:23" x14ac:dyDescent="0.3">
      <c r="A114">
        <v>112</v>
      </c>
      <c r="B114" t="str">
        <f>HYPERLINK("https://imapinvasives.natureserve.org/imap/services/page/Presence/528166.html", "View")</f>
        <v>View</v>
      </c>
      <c r="C114" t="s">
        <v>317</v>
      </c>
      <c r="D114">
        <v>528166</v>
      </c>
      <c r="E114">
        <v>528166</v>
      </c>
      <c r="F114" t="str">
        <f>HYPERLINK("http://imap3images.s3-website-us-east-1.amazonaws.com/528166/p/photourl1_2018_07_09_lexlill_aygdlgek.jpg", "View")</f>
        <v>View</v>
      </c>
      <c r="G114" t="s">
        <v>318</v>
      </c>
      <c r="H114" t="s">
        <v>22</v>
      </c>
      <c r="I114" t="s">
        <v>23</v>
      </c>
      <c r="J114" t="s">
        <v>152</v>
      </c>
      <c r="K114" t="str">
        <f>HYPERLINK("https://www.inaturalist.org/taxa/82342-Lonicera-maackii", "View")</f>
        <v>View</v>
      </c>
      <c r="L114" t="s">
        <v>24</v>
      </c>
      <c r="M114" t="s">
        <v>22</v>
      </c>
      <c r="N114" t="s">
        <v>25</v>
      </c>
      <c r="O114" t="s">
        <v>152</v>
      </c>
      <c r="P114">
        <v>17.12</v>
      </c>
      <c r="Q114">
        <v>97.88</v>
      </c>
      <c r="S114">
        <v>1</v>
      </c>
      <c r="U114" t="s">
        <v>395</v>
      </c>
      <c r="V114" t="s">
        <v>396</v>
      </c>
    </row>
    <row r="115" spans="1:23" x14ac:dyDescent="0.3">
      <c r="A115">
        <v>113</v>
      </c>
      <c r="B115" t="str">
        <f>HYPERLINK("https://imapinvasives.natureserve.org/imap/services/page/Presence/527537.html", "View")</f>
        <v>View</v>
      </c>
      <c r="C115" t="s">
        <v>319</v>
      </c>
      <c r="D115">
        <v>527537</v>
      </c>
      <c r="E115">
        <v>527537</v>
      </c>
      <c r="F115" t="str">
        <f>HYPERLINK("http://imap3images.s3-website-us-east-1.amazonaws.com/527537/p/photourl2_2018_06_27_julkostin_bq3ty79o.jpg", "View")</f>
        <v>View</v>
      </c>
      <c r="G115" t="s">
        <v>320</v>
      </c>
      <c r="H115" t="s">
        <v>125</v>
      </c>
      <c r="I115" t="s">
        <v>126</v>
      </c>
      <c r="J115" t="s">
        <v>168</v>
      </c>
      <c r="K115" t="str">
        <f>HYPERLINK("https://www.inaturalist.org/taxa/77836-Lonicera-tatarica", "View")</f>
        <v>View</v>
      </c>
      <c r="L115" t="s">
        <v>49</v>
      </c>
      <c r="M115" t="s">
        <v>50</v>
      </c>
      <c r="N115" t="s">
        <v>51</v>
      </c>
      <c r="O115" t="s">
        <v>153</v>
      </c>
      <c r="P115">
        <v>15.92</v>
      </c>
      <c r="Q115">
        <v>58.6</v>
      </c>
      <c r="S115">
        <v>1</v>
      </c>
      <c r="U115" t="s">
        <v>395</v>
      </c>
      <c r="V115" t="s">
        <v>402</v>
      </c>
    </row>
    <row r="116" spans="1:23" x14ac:dyDescent="0.3">
      <c r="A116">
        <v>114</v>
      </c>
      <c r="B116" t="str">
        <f>HYPERLINK("https://imapinvasives.natureserve.org/imap/services/page/Presence/527150.html", "View")</f>
        <v>View</v>
      </c>
      <c r="C116" t="s">
        <v>321</v>
      </c>
      <c r="D116">
        <v>527150</v>
      </c>
      <c r="E116">
        <v>527150</v>
      </c>
      <c r="F116" t="str">
        <f>HYPERLINK("http://imap3images.s3-website-us-east-1.amazonaws.com/527150/p/photourl2_2018_06_20_rebmann_oorgekzj.jpg", "View")</f>
        <v>View</v>
      </c>
      <c r="G116" t="s">
        <v>322</v>
      </c>
      <c r="H116" t="s">
        <v>125</v>
      </c>
      <c r="I116" t="s">
        <v>126</v>
      </c>
      <c r="J116" t="s">
        <v>168</v>
      </c>
      <c r="K116" t="str">
        <f>HYPERLINK("https://www.inaturalist.org/taxa/54792-Juglans-cinerea", "View")</f>
        <v>View</v>
      </c>
      <c r="L116" t="s">
        <v>323</v>
      </c>
      <c r="M116" t="s">
        <v>324</v>
      </c>
      <c r="N116" t="s">
        <v>325</v>
      </c>
      <c r="O116" t="s">
        <v>326</v>
      </c>
      <c r="P116">
        <v>5.01</v>
      </c>
      <c r="Q116">
        <v>5.09</v>
      </c>
      <c r="S116">
        <v>0</v>
      </c>
      <c r="U116" t="s">
        <v>397</v>
      </c>
      <c r="V116" t="s">
        <v>401</v>
      </c>
    </row>
    <row r="117" spans="1:23" x14ac:dyDescent="0.3">
      <c r="A117">
        <v>115</v>
      </c>
      <c r="B117" t="str">
        <f>HYPERLINK("https://imapinvasives.natureserve.org/imap/services/page/Presence/526786.html", "View")</f>
        <v>View</v>
      </c>
      <c r="C117" t="s">
        <v>327</v>
      </c>
      <c r="D117">
        <v>526786</v>
      </c>
      <c r="E117">
        <v>526786</v>
      </c>
      <c r="F117" t="str">
        <f>HYPERLINK("http://imap3images.s3-website-us-east-1.amazonaws.com/526786/p/photourl1_2018_06_14_spebarrett_51x275ha.jpg", "View")</f>
        <v>View</v>
      </c>
      <c r="G117" t="s">
        <v>328</v>
      </c>
      <c r="H117" t="s">
        <v>22</v>
      </c>
      <c r="I117" t="s">
        <v>23</v>
      </c>
      <c r="J117" t="s">
        <v>152</v>
      </c>
      <c r="K117" t="str">
        <f>HYPERLINK("https://www.inaturalist.org/taxa/337821-Deutzia-crenata", "View")</f>
        <v>View</v>
      </c>
      <c r="L117" t="s">
        <v>329</v>
      </c>
      <c r="M117" t="s">
        <v>330</v>
      </c>
      <c r="N117" t="s">
        <v>147</v>
      </c>
      <c r="O117" t="s">
        <v>331</v>
      </c>
      <c r="P117">
        <v>2.46</v>
      </c>
      <c r="Q117">
        <v>58.81</v>
      </c>
      <c r="S117">
        <v>0</v>
      </c>
      <c r="U117" t="s">
        <v>397</v>
      </c>
      <c r="V117" t="s">
        <v>403</v>
      </c>
    </row>
    <row r="118" spans="1:23" x14ac:dyDescent="0.3">
      <c r="A118">
        <v>116</v>
      </c>
      <c r="B118" t="str">
        <f>HYPERLINK("https://imapinvasives.natureserve.org/imap/services/page/Presence/526683.html", "View")</f>
        <v>View</v>
      </c>
      <c r="C118" t="s">
        <v>332</v>
      </c>
      <c r="D118">
        <v>526683</v>
      </c>
      <c r="E118">
        <v>526683</v>
      </c>
      <c r="F118" t="str">
        <f>HYPERLINK("http://imap3images.s3-website-us-east-1.amazonaws.com/526683/p/photourl1_2018_06_14_lexlill_tn5kicyf.jpg", "View")</f>
        <v>View</v>
      </c>
      <c r="G118" t="s">
        <v>333</v>
      </c>
      <c r="H118" t="s">
        <v>22</v>
      </c>
      <c r="I118" t="s">
        <v>23</v>
      </c>
      <c r="J118" t="s">
        <v>152</v>
      </c>
      <c r="K118" t="str">
        <f>HYPERLINK("https://www.inaturalist.org/taxa/117433-Euonymus-alatus", "View")</f>
        <v>View</v>
      </c>
      <c r="L118" t="s">
        <v>334</v>
      </c>
      <c r="M118" t="s">
        <v>335</v>
      </c>
      <c r="N118" t="s">
        <v>336</v>
      </c>
      <c r="O118" t="s">
        <v>337</v>
      </c>
      <c r="P118">
        <v>53.44</v>
      </c>
      <c r="Q118">
        <v>98.18</v>
      </c>
      <c r="S118">
        <v>0</v>
      </c>
      <c r="U118" t="s">
        <v>404</v>
      </c>
      <c r="V118" t="s">
        <v>398</v>
      </c>
      <c r="W118" t="s">
        <v>406</v>
      </c>
    </row>
    <row r="119" spans="1:23" x14ac:dyDescent="0.3">
      <c r="A119">
        <v>117</v>
      </c>
      <c r="B119" t="str">
        <f>HYPERLINK("https://imapinvasives.natureserve.org/imap/services/page/Presence/526577.html", "View")</f>
        <v>View</v>
      </c>
      <c r="C119" t="s">
        <v>338</v>
      </c>
      <c r="D119">
        <v>526577</v>
      </c>
      <c r="E119">
        <v>526577</v>
      </c>
      <c r="F119" t="str">
        <f>HYPERLINK("http://imap3images.s3-website-us-east-1.amazonaws.com/526577/p/photourl1_2018_06_13_annkuhne_o2xjxmxo.jpg", "View")</f>
        <v>View</v>
      </c>
      <c r="G119" t="s">
        <v>339</v>
      </c>
      <c r="H119" t="s">
        <v>22</v>
      </c>
      <c r="I119" t="s">
        <v>23</v>
      </c>
      <c r="J119" t="s">
        <v>152</v>
      </c>
      <c r="K119" t="str">
        <f>HYPERLINK("https://www.inaturalist.org/taxa/58749-Cornus-amomum", "View")</f>
        <v>View</v>
      </c>
      <c r="L119" t="s">
        <v>340</v>
      </c>
      <c r="M119" t="s">
        <v>341</v>
      </c>
      <c r="N119" t="s">
        <v>342</v>
      </c>
      <c r="O119" t="s">
        <v>343</v>
      </c>
      <c r="P119">
        <v>24.66</v>
      </c>
      <c r="Q119">
        <v>57.72</v>
      </c>
      <c r="S119">
        <v>0</v>
      </c>
      <c r="U119" t="s">
        <v>404</v>
      </c>
      <c r="V119" t="s">
        <v>398</v>
      </c>
    </row>
    <row r="120" spans="1:23" x14ac:dyDescent="0.3">
      <c r="A120">
        <v>118</v>
      </c>
      <c r="B120" t="str">
        <f>HYPERLINK("https://imapinvasives.natureserve.org/imap/services/page/Presence/526457.html", "View")</f>
        <v>View</v>
      </c>
      <c r="C120" t="s">
        <v>344</v>
      </c>
      <c r="D120">
        <v>526457</v>
      </c>
      <c r="E120">
        <v>526457</v>
      </c>
      <c r="F120" t="str">
        <f>HYPERLINK("http://imap3images.s3-website-us-east-1.amazonaws.com/526457/p/photourl1_2018_06_12_lexlill_cg9ygiiq.jpg", "View")</f>
        <v>View</v>
      </c>
      <c r="G120" t="s">
        <v>345</v>
      </c>
      <c r="H120" t="s">
        <v>22</v>
      </c>
      <c r="I120" t="s">
        <v>23</v>
      </c>
      <c r="J120" t="s">
        <v>152</v>
      </c>
      <c r="K120" t="str">
        <f t="shared" ref="K120:K138" si="3">HYPERLINK("https://www.inaturalist.org/taxa/82342-Lonicera-maackii", "View")</f>
        <v>View</v>
      </c>
      <c r="L120" t="s">
        <v>24</v>
      </c>
      <c r="M120" t="s">
        <v>22</v>
      </c>
      <c r="N120" t="s">
        <v>25</v>
      </c>
      <c r="O120" t="s">
        <v>152</v>
      </c>
      <c r="P120">
        <v>17.12</v>
      </c>
      <c r="Q120">
        <v>93.15</v>
      </c>
      <c r="S120">
        <v>1</v>
      </c>
      <c r="U120" t="s">
        <v>395</v>
      </c>
      <c r="V120" t="s">
        <v>396</v>
      </c>
    </row>
    <row r="121" spans="1:23" x14ac:dyDescent="0.3">
      <c r="A121">
        <v>119</v>
      </c>
      <c r="B121" t="str">
        <f>HYPERLINK("https://imapinvasives.natureserve.org/imap/services/page/Presence/526456.html", "View")</f>
        <v>View</v>
      </c>
      <c r="C121" t="s">
        <v>346</v>
      </c>
      <c r="D121">
        <v>526456</v>
      </c>
      <c r="E121">
        <v>526456</v>
      </c>
      <c r="F121" t="str">
        <f>HYPERLINK("http://imap3images.s3-website-us-east-1.amazonaws.com/526456/p/photourl1_2018_06_12_lexlill_03tsbdtk.jpg", "View")</f>
        <v>View</v>
      </c>
      <c r="G121" t="s">
        <v>347</v>
      </c>
      <c r="H121" t="s">
        <v>22</v>
      </c>
      <c r="I121" t="s">
        <v>23</v>
      </c>
      <c r="J121" t="s">
        <v>152</v>
      </c>
      <c r="K121" t="str">
        <f t="shared" si="3"/>
        <v>View</v>
      </c>
      <c r="L121" t="s">
        <v>24</v>
      </c>
      <c r="M121" t="s">
        <v>22</v>
      </c>
      <c r="N121" t="s">
        <v>25</v>
      </c>
      <c r="O121" t="s">
        <v>152</v>
      </c>
      <c r="P121">
        <v>17.12</v>
      </c>
      <c r="Q121">
        <v>91.21</v>
      </c>
      <c r="S121">
        <v>1</v>
      </c>
      <c r="U121" t="s">
        <v>395</v>
      </c>
      <c r="V121" t="s">
        <v>396</v>
      </c>
    </row>
    <row r="122" spans="1:23" x14ac:dyDescent="0.3">
      <c r="A122">
        <v>120</v>
      </c>
      <c r="B122" t="str">
        <f>HYPERLINK("https://imapinvasives.natureserve.org/imap/services/page/Presence/526455.html", "View")</f>
        <v>View</v>
      </c>
      <c r="C122" t="s">
        <v>348</v>
      </c>
      <c r="D122">
        <v>526455</v>
      </c>
      <c r="E122">
        <v>526455</v>
      </c>
      <c r="F122" t="str">
        <f>HYPERLINK("http://imap3images.s3-website-us-east-1.amazonaws.com/526455/p/photourl1_2018_06_12_lexlill_c5xzlvkj.jpg", "View")</f>
        <v>View</v>
      </c>
      <c r="G122" t="s">
        <v>349</v>
      </c>
      <c r="H122" t="s">
        <v>22</v>
      </c>
      <c r="I122" t="s">
        <v>23</v>
      </c>
      <c r="J122" t="s">
        <v>152</v>
      </c>
      <c r="K122" t="str">
        <f t="shared" si="3"/>
        <v>View</v>
      </c>
      <c r="L122" t="s">
        <v>24</v>
      </c>
      <c r="M122" t="s">
        <v>22</v>
      </c>
      <c r="N122" t="s">
        <v>25</v>
      </c>
      <c r="O122" t="s">
        <v>152</v>
      </c>
      <c r="P122">
        <v>17.12</v>
      </c>
      <c r="Q122">
        <v>81.16</v>
      </c>
      <c r="S122">
        <v>1</v>
      </c>
      <c r="U122" t="s">
        <v>395</v>
      </c>
      <c r="V122" t="s">
        <v>396</v>
      </c>
    </row>
    <row r="123" spans="1:23" x14ac:dyDescent="0.3">
      <c r="A123">
        <v>121</v>
      </c>
      <c r="B123" t="str">
        <f>HYPERLINK("https://imapinvasives.natureserve.org/imap/services/page/Presence/523477.html", "View")</f>
        <v>View</v>
      </c>
      <c r="C123" t="s">
        <v>350</v>
      </c>
      <c r="D123">
        <v>523477</v>
      </c>
      <c r="E123">
        <v>523477</v>
      </c>
      <c r="F123" t="str">
        <f>HYPERLINK("http://imap3images.s3-website-us-east-1.amazonaws.com/523477/p/photourl1_2017_11_03_spebarrett_3t8lb979.jpg", "View")</f>
        <v>View</v>
      </c>
      <c r="G123" t="s">
        <v>351</v>
      </c>
      <c r="H123" t="s">
        <v>22</v>
      </c>
      <c r="I123" t="s">
        <v>23</v>
      </c>
      <c r="J123" t="s">
        <v>152</v>
      </c>
      <c r="K123" t="str">
        <f t="shared" si="3"/>
        <v>View</v>
      </c>
      <c r="L123" t="s">
        <v>24</v>
      </c>
      <c r="M123" t="s">
        <v>22</v>
      </c>
      <c r="N123" t="s">
        <v>25</v>
      </c>
      <c r="O123" t="s">
        <v>152</v>
      </c>
      <c r="P123">
        <v>64.77</v>
      </c>
      <c r="Q123">
        <v>53.79</v>
      </c>
      <c r="S123">
        <v>1</v>
      </c>
      <c r="U123" t="s">
        <v>395</v>
      </c>
      <c r="V123" t="s">
        <v>396</v>
      </c>
    </row>
    <row r="124" spans="1:23" x14ac:dyDescent="0.3">
      <c r="A124">
        <v>122</v>
      </c>
      <c r="B124" t="str">
        <f>HYPERLINK("https://imapinvasives.natureserve.org/imap/services/page/Presence/523476.html", "View")</f>
        <v>View</v>
      </c>
      <c r="C124" t="s">
        <v>352</v>
      </c>
      <c r="D124">
        <v>523476</v>
      </c>
      <c r="E124">
        <v>523476</v>
      </c>
      <c r="F124" t="str">
        <f>HYPERLINK("http://imap3images.s3-website-us-east-1.amazonaws.com/523476/p/photourl1_2017_11_03_spebarrett_yt91klum.jpg", "View")</f>
        <v>View</v>
      </c>
      <c r="G124" t="s">
        <v>353</v>
      </c>
      <c r="H124" t="s">
        <v>22</v>
      </c>
      <c r="I124" t="s">
        <v>23</v>
      </c>
      <c r="J124" t="s">
        <v>152</v>
      </c>
      <c r="K124" t="str">
        <f t="shared" si="3"/>
        <v>View</v>
      </c>
      <c r="L124" t="s">
        <v>24</v>
      </c>
      <c r="M124" t="s">
        <v>22</v>
      </c>
      <c r="N124" t="s">
        <v>25</v>
      </c>
      <c r="O124" t="s">
        <v>152</v>
      </c>
      <c r="P124">
        <v>64.77</v>
      </c>
      <c r="Q124">
        <v>17.22</v>
      </c>
      <c r="S124">
        <v>1</v>
      </c>
      <c r="U124" t="s">
        <v>395</v>
      </c>
      <c r="V124" t="s">
        <v>396</v>
      </c>
    </row>
    <row r="125" spans="1:23" x14ac:dyDescent="0.3">
      <c r="A125">
        <v>123</v>
      </c>
      <c r="B125" t="str">
        <f>HYPERLINK("https://imapinvasives.natureserve.org/imap/services/page/Presence/516060.html", "View")</f>
        <v>View</v>
      </c>
      <c r="C125" t="s">
        <v>354</v>
      </c>
      <c r="D125">
        <v>516060</v>
      </c>
      <c r="E125">
        <v>516060</v>
      </c>
      <c r="F125" t="str">
        <f>HYPERLINK("http://imap3images.s3-website-us-east-1.amazonaws.com/516060/p/photourl1_2017_10_20_spebarrett_xux5lp84.jpg", "View")</f>
        <v>View</v>
      </c>
      <c r="G125" t="s">
        <v>355</v>
      </c>
      <c r="H125" t="s">
        <v>22</v>
      </c>
      <c r="I125" t="s">
        <v>23</v>
      </c>
      <c r="J125" t="s">
        <v>152</v>
      </c>
      <c r="K125" t="str">
        <f t="shared" si="3"/>
        <v>View</v>
      </c>
      <c r="L125" t="s">
        <v>24</v>
      </c>
      <c r="M125" t="s">
        <v>22</v>
      </c>
      <c r="N125" t="s">
        <v>25</v>
      </c>
      <c r="O125" t="s">
        <v>152</v>
      </c>
      <c r="P125">
        <v>21.41</v>
      </c>
      <c r="Q125">
        <v>81.41</v>
      </c>
      <c r="S125">
        <v>1</v>
      </c>
      <c r="U125" t="s">
        <v>395</v>
      </c>
      <c r="V125" t="s">
        <v>396</v>
      </c>
    </row>
    <row r="126" spans="1:23" x14ac:dyDescent="0.3">
      <c r="A126">
        <v>124</v>
      </c>
      <c r="B126" t="str">
        <f>HYPERLINK("https://imapinvasives.natureserve.org/imap/services/page/Presence/516059.html", "View")</f>
        <v>View</v>
      </c>
      <c r="C126" t="s">
        <v>356</v>
      </c>
      <c r="D126">
        <v>516059</v>
      </c>
      <c r="E126">
        <v>516059</v>
      </c>
      <c r="F126" t="str">
        <f>HYPERLINK("http://imap3images.s3-website-us-east-1.amazonaws.com/516059/p/photourl1_2017_10_20_spebarrett_xecuvmmn.jpg", "View")</f>
        <v>View</v>
      </c>
      <c r="G126" t="s">
        <v>357</v>
      </c>
      <c r="H126" t="s">
        <v>22</v>
      </c>
      <c r="I126" t="s">
        <v>23</v>
      </c>
      <c r="J126" t="s">
        <v>152</v>
      </c>
      <c r="K126" t="str">
        <f t="shared" si="3"/>
        <v>View</v>
      </c>
      <c r="L126" t="s">
        <v>24</v>
      </c>
      <c r="M126" t="s">
        <v>22</v>
      </c>
      <c r="N126" t="s">
        <v>25</v>
      </c>
      <c r="O126" t="s">
        <v>152</v>
      </c>
      <c r="P126">
        <v>21.41</v>
      </c>
      <c r="Q126">
        <v>97.68</v>
      </c>
      <c r="S126">
        <v>1</v>
      </c>
      <c r="U126" t="s">
        <v>395</v>
      </c>
      <c r="V126" t="s">
        <v>396</v>
      </c>
    </row>
    <row r="127" spans="1:23" x14ac:dyDescent="0.3">
      <c r="A127">
        <v>125</v>
      </c>
      <c r="B127" t="str">
        <f>HYPERLINK("https://imapinvasives.natureserve.org/imap/services/page/Presence/516055.html", "View")</f>
        <v>View</v>
      </c>
      <c r="C127" t="s">
        <v>358</v>
      </c>
      <c r="D127">
        <v>516055</v>
      </c>
      <c r="E127">
        <v>516055</v>
      </c>
      <c r="F127" t="str">
        <f>HYPERLINK("http://imap3images.s3-website-us-east-1.amazonaws.com/516055/p/photourl1_2017_10_19_spebarrett_j3olzpzh.jpg", "View")</f>
        <v>View</v>
      </c>
      <c r="G127" t="s">
        <v>359</v>
      </c>
      <c r="H127" t="s">
        <v>22</v>
      </c>
      <c r="I127" t="s">
        <v>23</v>
      </c>
      <c r="J127" t="s">
        <v>152</v>
      </c>
      <c r="K127" t="str">
        <f t="shared" si="3"/>
        <v>View</v>
      </c>
      <c r="L127" t="s">
        <v>24</v>
      </c>
      <c r="M127" t="s">
        <v>22</v>
      </c>
      <c r="N127" t="s">
        <v>25</v>
      </c>
      <c r="O127" t="s">
        <v>152</v>
      </c>
      <c r="P127">
        <v>21.41</v>
      </c>
      <c r="Q127">
        <v>93.12</v>
      </c>
      <c r="S127">
        <v>1</v>
      </c>
      <c r="U127" t="s">
        <v>395</v>
      </c>
      <c r="V127" t="s">
        <v>396</v>
      </c>
    </row>
    <row r="128" spans="1:23" x14ac:dyDescent="0.3">
      <c r="A128">
        <v>126</v>
      </c>
      <c r="B128" t="str">
        <f>HYPERLINK("https://imapinvasives.natureserve.org/imap/services/page/Presence/516021.html", "View")</f>
        <v>View</v>
      </c>
      <c r="C128" t="s">
        <v>360</v>
      </c>
      <c r="D128">
        <v>516021</v>
      </c>
      <c r="E128">
        <v>516021</v>
      </c>
      <c r="F128" t="str">
        <f>HYPERLINK("http://imap3images.s3-website-us-east-1.amazonaws.com/516021/p/photourl1_2017_10_16_steyoung_zh44d4v9.jpg", "View")</f>
        <v>View</v>
      </c>
      <c r="G128" t="s">
        <v>361</v>
      </c>
      <c r="H128" t="s">
        <v>22</v>
      </c>
      <c r="I128" t="s">
        <v>23</v>
      </c>
      <c r="J128" t="s">
        <v>152</v>
      </c>
      <c r="K128" t="str">
        <f t="shared" si="3"/>
        <v>View</v>
      </c>
      <c r="L128" t="s">
        <v>24</v>
      </c>
      <c r="M128" t="s">
        <v>22</v>
      </c>
      <c r="N128" t="s">
        <v>25</v>
      </c>
      <c r="O128" t="s">
        <v>152</v>
      </c>
      <c r="P128">
        <v>17.12</v>
      </c>
      <c r="Q128">
        <v>94.94</v>
      </c>
      <c r="S128">
        <v>1</v>
      </c>
      <c r="U128" t="s">
        <v>395</v>
      </c>
      <c r="V128" t="s">
        <v>396</v>
      </c>
    </row>
    <row r="129" spans="1:22" x14ac:dyDescent="0.3">
      <c r="A129">
        <v>127</v>
      </c>
      <c r="B129" t="str">
        <f>HYPERLINK("https://imapinvasives.natureserve.org/imap/services/page/Presence/511578.html", "View")</f>
        <v>View</v>
      </c>
      <c r="C129" t="s">
        <v>362</v>
      </c>
      <c r="D129">
        <v>511578</v>
      </c>
      <c r="E129">
        <v>511578</v>
      </c>
      <c r="F129" t="str">
        <f>HYPERLINK("http://imap3images.s3-website-us-east-1.amazonaws.com/511578/p/photourl1_2017_05_17_steyoung_ovh0t6yg.jpg", "View")</f>
        <v>View</v>
      </c>
      <c r="G129" t="s">
        <v>363</v>
      </c>
      <c r="H129" t="s">
        <v>22</v>
      </c>
      <c r="I129" t="s">
        <v>23</v>
      </c>
      <c r="J129" t="s">
        <v>152</v>
      </c>
      <c r="K129" t="str">
        <f t="shared" si="3"/>
        <v>View</v>
      </c>
      <c r="L129" t="s">
        <v>24</v>
      </c>
      <c r="M129" t="s">
        <v>22</v>
      </c>
      <c r="N129" t="s">
        <v>25</v>
      </c>
      <c r="O129" t="s">
        <v>152</v>
      </c>
      <c r="P129">
        <v>64.77</v>
      </c>
      <c r="Q129">
        <v>34.19</v>
      </c>
      <c r="S129">
        <v>1</v>
      </c>
      <c r="U129" t="s">
        <v>395</v>
      </c>
      <c r="V129" t="s">
        <v>396</v>
      </c>
    </row>
    <row r="130" spans="1:22" x14ac:dyDescent="0.3">
      <c r="A130">
        <v>128</v>
      </c>
      <c r="B130" t="str">
        <f>HYPERLINK("https://imapinvasives.natureserve.org/imap/services/page/Presence/511577.html", "View")</f>
        <v>View</v>
      </c>
      <c r="C130" t="s">
        <v>364</v>
      </c>
      <c r="D130">
        <v>511577</v>
      </c>
      <c r="E130">
        <v>511577</v>
      </c>
      <c r="F130" t="str">
        <f>HYPERLINK("http://imap3images.s3-website-us-east-1.amazonaws.com/511577/p/photourl1_2017_05_17_steyoung_23rrek0b.jpg", "View")</f>
        <v>View</v>
      </c>
      <c r="G130" t="s">
        <v>365</v>
      </c>
      <c r="H130" t="s">
        <v>22</v>
      </c>
      <c r="I130" t="s">
        <v>23</v>
      </c>
      <c r="J130" t="s">
        <v>152</v>
      </c>
      <c r="K130" t="str">
        <f t="shared" si="3"/>
        <v>View</v>
      </c>
      <c r="L130" t="s">
        <v>24</v>
      </c>
      <c r="M130" t="s">
        <v>22</v>
      </c>
      <c r="N130" t="s">
        <v>25</v>
      </c>
      <c r="O130" t="s">
        <v>152</v>
      </c>
      <c r="P130">
        <v>64.77</v>
      </c>
      <c r="Q130">
        <v>9.4</v>
      </c>
      <c r="S130">
        <v>1</v>
      </c>
      <c r="U130" t="s">
        <v>395</v>
      </c>
      <c r="V130" t="s">
        <v>401</v>
      </c>
    </row>
    <row r="131" spans="1:22" x14ac:dyDescent="0.3">
      <c r="A131">
        <v>129</v>
      </c>
      <c r="B131" t="str">
        <f>HYPERLINK("https://imapinvasives.natureserve.org/imap/services/page/Presence/511571.html", "View")</f>
        <v>View</v>
      </c>
      <c r="C131" t="s">
        <v>366</v>
      </c>
      <c r="D131">
        <v>511571</v>
      </c>
      <c r="E131">
        <v>511571</v>
      </c>
      <c r="F131" t="str">
        <f>HYPERLINK("http://imap3images.s3-website-us-east-1.amazonaws.com/511571/p/photourl1_2017_06_02_steyoung_j0p2y0yc.jpg", "View")</f>
        <v>View</v>
      </c>
      <c r="G131" t="s">
        <v>367</v>
      </c>
      <c r="H131" t="s">
        <v>22</v>
      </c>
      <c r="I131" t="s">
        <v>23</v>
      </c>
      <c r="J131" t="s">
        <v>152</v>
      </c>
      <c r="K131" t="str">
        <f t="shared" si="3"/>
        <v>View</v>
      </c>
      <c r="L131" t="s">
        <v>24</v>
      </c>
      <c r="M131" t="s">
        <v>22</v>
      </c>
      <c r="N131" t="s">
        <v>25</v>
      </c>
      <c r="O131" t="s">
        <v>152</v>
      </c>
      <c r="P131">
        <v>17.12</v>
      </c>
      <c r="Q131">
        <v>56.28</v>
      </c>
      <c r="S131">
        <v>1</v>
      </c>
      <c r="U131" t="s">
        <v>395</v>
      </c>
      <c r="V131" t="s">
        <v>396</v>
      </c>
    </row>
    <row r="132" spans="1:22" x14ac:dyDescent="0.3">
      <c r="A132">
        <v>130</v>
      </c>
      <c r="B132" t="str">
        <f>HYPERLINK("https://imapinvasives.natureserve.org/imap/services/page/Presence/511449.html", "View")</f>
        <v>View</v>
      </c>
      <c r="C132" t="s">
        <v>368</v>
      </c>
      <c r="D132">
        <v>511449</v>
      </c>
      <c r="E132">
        <v>511449</v>
      </c>
      <c r="F132" t="str">
        <f>HYPERLINK("http://imap3images.s3-website-us-east-1.amazonaws.com/511449/p/photourl1_2017_06_02_tomphillips_d3ecwwy7.jpg", "View")</f>
        <v>View</v>
      </c>
      <c r="G132" t="s">
        <v>369</v>
      </c>
      <c r="H132" t="s">
        <v>22</v>
      </c>
      <c r="I132" t="s">
        <v>23</v>
      </c>
      <c r="J132" t="s">
        <v>152</v>
      </c>
      <c r="K132" t="str">
        <f t="shared" si="3"/>
        <v>View</v>
      </c>
      <c r="L132" t="s">
        <v>24</v>
      </c>
      <c r="M132" t="s">
        <v>22</v>
      </c>
      <c r="N132" t="s">
        <v>25</v>
      </c>
      <c r="O132" t="s">
        <v>152</v>
      </c>
      <c r="P132">
        <v>17.12</v>
      </c>
      <c r="Q132">
        <v>74.540000000000006</v>
      </c>
      <c r="S132">
        <v>1</v>
      </c>
      <c r="U132" t="s">
        <v>395</v>
      </c>
      <c r="V132" t="s">
        <v>396</v>
      </c>
    </row>
    <row r="133" spans="1:22" x14ac:dyDescent="0.3">
      <c r="A133">
        <v>131</v>
      </c>
      <c r="B133" t="str">
        <f>HYPERLINK("https://imapinvasives.natureserve.org/imap/services/page/Presence/511334.html", "View")</f>
        <v>View</v>
      </c>
      <c r="C133" t="s">
        <v>370</v>
      </c>
      <c r="D133">
        <v>511334</v>
      </c>
      <c r="E133">
        <v>511334</v>
      </c>
      <c r="F133" t="str">
        <f>HYPERLINK("http://imap3images.s3-website-us-east-1.amazonaws.com/511334/p/photourl2_2017_05_30_kylwebster_obxmdzry.jpg", "View")</f>
        <v>View</v>
      </c>
      <c r="G133" t="s">
        <v>371</v>
      </c>
      <c r="H133" t="s">
        <v>22</v>
      </c>
      <c r="I133" t="s">
        <v>23</v>
      </c>
      <c r="J133" t="s">
        <v>152</v>
      </c>
      <c r="K133" t="str">
        <f t="shared" si="3"/>
        <v>View</v>
      </c>
      <c r="L133" t="s">
        <v>24</v>
      </c>
      <c r="M133" t="s">
        <v>22</v>
      </c>
      <c r="N133" t="s">
        <v>25</v>
      </c>
      <c r="O133" t="s">
        <v>152</v>
      </c>
      <c r="P133">
        <v>14.27</v>
      </c>
      <c r="Q133">
        <v>24.47</v>
      </c>
      <c r="S133">
        <v>1</v>
      </c>
      <c r="U133" t="s">
        <v>395</v>
      </c>
      <c r="V133" t="s">
        <v>403</v>
      </c>
    </row>
    <row r="134" spans="1:22" x14ac:dyDescent="0.3">
      <c r="A134">
        <v>132</v>
      </c>
      <c r="B134" t="str">
        <f>HYPERLINK("https://imapinvasives.natureserve.org/imap/services/page/Presence/510868.html", "View")</f>
        <v>View</v>
      </c>
      <c r="C134" t="s">
        <v>372</v>
      </c>
      <c r="D134">
        <v>510868</v>
      </c>
      <c r="E134">
        <v>510868</v>
      </c>
      <c r="F134" t="str">
        <f>HYPERLINK("http://imap3images.s3-website-us-east-1.amazonaws.com/510868/p/photourl1_2017_05_16_steyoung_c489qg6b.jpg", "View")</f>
        <v>View</v>
      </c>
      <c r="G134" t="s">
        <v>373</v>
      </c>
      <c r="H134" t="s">
        <v>22</v>
      </c>
      <c r="I134" t="s">
        <v>23</v>
      </c>
      <c r="J134" t="s">
        <v>152</v>
      </c>
      <c r="K134" t="str">
        <f t="shared" si="3"/>
        <v>View</v>
      </c>
      <c r="L134" t="s">
        <v>24</v>
      </c>
      <c r="M134" t="s">
        <v>22</v>
      </c>
      <c r="N134" t="s">
        <v>25</v>
      </c>
      <c r="O134" t="s">
        <v>152</v>
      </c>
      <c r="P134">
        <v>64.77</v>
      </c>
      <c r="Q134">
        <v>75.89</v>
      </c>
      <c r="S134">
        <v>1</v>
      </c>
      <c r="U134" t="s">
        <v>395</v>
      </c>
      <c r="V134" t="s">
        <v>396</v>
      </c>
    </row>
    <row r="135" spans="1:22" x14ac:dyDescent="0.3">
      <c r="A135">
        <v>133</v>
      </c>
      <c r="B135" t="str">
        <f>HYPERLINK("https://imapinvasives.natureserve.org/imap/services/page/Presence/497711.html", "View")</f>
        <v>View</v>
      </c>
      <c r="C135" t="s">
        <v>374</v>
      </c>
      <c r="D135">
        <v>497711</v>
      </c>
      <c r="E135">
        <v>497711</v>
      </c>
      <c r="F135" t="str">
        <f>HYPERLINK("http://imap3images.s3-website-us-east-1.amazonaws.com/497711/p/photourl1_2016_11_11_jendean_hcokot87.jpg", "View")</f>
        <v>View</v>
      </c>
      <c r="G135" t="s">
        <v>375</v>
      </c>
      <c r="H135" t="s">
        <v>22</v>
      </c>
      <c r="I135" t="s">
        <v>23</v>
      </c>
      <c r="J135" t="s">
        <v>152</v>
      </c>
      <c r="K135" t="str">
        <f t="shared" si="3"/>
        <v>View</v>
      </c>
      <c r="L135" t="s">
        <v>24</v>
      </c>
      <c r="M135" t="s">
        <v>22</v>
      </c>
      <c r="N135" t="s">
        <v>25</v>
      </c>
      <c r="O135" t="s">
        <v>152</v>
      </c>
      <c r="P135">
        <v>5.85</v>
      </c>
      <c r="Q135">
        <v>98.65</v>
      </c>
      <c r="S135">
        <v>1</v>
      </c>
      <c r="U135" t="s">
        <v>395</v>
      </c>
      <c r="V135" t="s">
        <v>396</v>
      </c>
    </row>
    <row r="136" spans="1:22" x14ac:dyDescent="0.3">
      <c r="A136">
        <v>134</v>
      </c>
      <c r="B136" t="str">
        <f>HYPERLINK("https://imapinvasives.natureserve.org/imap/services/page/Presence/496525.html", "View")</f>
        <v>View</v>
      </c>
      <c r="C136" t="s">
        <v>376</v>
      </c>
      <c r="D136">
        <v>496525</v>
      </c>
      <c r="E136">
        <v>496525</v>
      </c>
      <c r="F136" t="str">
        <f>HYPERLINK("http://imap3images.s3-website-us-east-1.amazonaws.com/496525/p/photourl1_2016_10_20_steyoung_lkr88i8h.jpg", "View")</f>
        <v>View</v>
      </c>
      <c r="G136" t="s">
        <v>377</v>
      </c>
      <c r="H136" t="s">
        <v>22</v>
      </c>
      <c r="I136" t="s">
        <v>23</v>
      </c>
      <c r="J136" t="s">
        <v>152</v>
      </c>
      <c r="K136" t="str">
        <f t="shared" si="3"/>
        <v>View</v>
      </c>
      <c r="L136" t="s">
        <v>24</v>
      </c>
      <c r="M136" t="s">
        <v>22</v>
      </c>
      <c r="N136" t="s">
        <v>25</v>
      </c>
      <c r="O136" t="s">
        <v>152</v>
      </c>
      <c r="P136">
        <v>3.2</v>
      </c>
      <c r="Q136">
        <v>33.82</v>
      </c>
      <c r="S136">
        <v>1</v>
      </c>
      <c r="U136" t="s">
        <v>395</v>
      </c>
      <c r="V136" t="s">
        <v>396</v>
      </c>
    </row>
    <row r="137" spans="1:22" x14ac:dyDescent="0.3">
      <c r="A137">
        <v>135</v>
      </c>
      <c r="B137" t="str">
        <f>HYPERLINK("https://imapinvasives.natureserve.org/imap/services/page/Presence/495899.html", "View")</f>
        <v>View</v>
      </c>
      <c r="C137" t="s">
        <v>378</v>
      </c>
      <c r="D137">
        <v>495899</v>
      </c>
      <c r="E137">
        <v>495899</v>
      </c>
      <c r="F137" t="str">
        <f>HYPERLINK("http://imap3images.s3-website-us-east-1.amazonaws.com/495899/p/photourl4_2016_10_13_selrosenthal_iaebhxcr.jpg", "View")</f>
        <v>View</v>
      </c>
      <c r="G137" t="s">
        <v>379</v>
      </c>
      <c r="H137" t="s">
        <v>22</v>
      </c>
      <c r="I137" t="s">
        <v>23</v>
      </c>
      <c r="J137" t="s">
        <v>152</v>
      </c>
      <c r="K137" t="str">
        <f t="shared" si="3"/>
        <v>View</v>
      </c>
      <c r="L137" t="s">
        <v>24</v>
      </c>
      <c r="M137" t="s">
        <v>22</v>
      </c>
      <c r="N137" t="s">
        <v>25</v>
      </c>
      <c r="O137" t="s">
        <v>152</v>
      </c>
      <c r="P137">
        <v>10.41</v>
      </c>
      <c r="Q137">
        <v>18.95</v>
      </c>
      <c r="S137">
        <v>1</v>
      </c>
      <c r="U137" t="s">
        <v>395</v>
      </c>
      <c r="V137" t="s">
        <v>396</v>
      </c>
    </row>
    <row r="138" spans="1:22" x14ac:dyDescent="0.3">
      <c r="A138">
        <v>136</v>
      </c>
      <c r="B138" t="str">
        <f>HYPERLINK("https://imapinvasives.natureserve.org/imap/services/page/Presence/495786.html", "View")</f>
        <v>View</v>
      </c>
      <c r="C138" t="s">
        <v>380</v>
      </c>
      <c r="D138">
        <v>495786</v>
      </c>
      <c r="E138">
        <v>495786</v>
      </c>
      <c r="F138" t="str">
        <f>HYPERLINK("http://imap3images.s3-website-us-east-1.amazonaws.com/495786/p/photourl1_2016_10_03_jendean_8ch0g6bn.jpg", "View")</f>
        <v>View</v>
      </c>
      <c r="G138" t="s">
        <v>381</v>
      </c>
      <c r="H138" t="s">
        <v>22</v>
      </c>
      <c r="I138" t="s">
        <v>23</v>
      </c>
      <c r="J138" t="s">
        <v>152</v>
      </c>
      <c r="K138" t="str">
        <f t="shared" si="3"/>
        <v>View</v>
      </c>
      <c r="L138" t="s">
        <v>24</v>
      </c>
      <c r="M138" t="s">
        <v>22</v>
      </c>
      <c r="N138" t="s">
        <v>25</v>
      </c>
      <c r="O138" t="s">
        <v>152</v>
      </c>
      <c r="P138">
        <v>10.41</v>
      </c>
      <c r="Q138">
        <v>96.65</v>
      </c>
      <c r="S138">
        <v>1</v>
      </c>
      <c r="U138" t="s">
        <v>395</v>
      </c>
      <c r="V138" t="s">
        <v>396</v>
      </c>
    </row>
    <row r="139" spans="1:22" x14ac:dyDescent="0.3">
      <c r="A139">
        <v>137</v>
      </c>
      <c r="B139" t="str">
        <f>HYPERLINK("https://imapinvasives.natureserve.org/imap/services/page/Presence/495550.html", "View")</f>
        <v>View</v>
      </c>
      <c r="C139" t="s">
        <v>382</v>
      </c>
      <c r="D139">
        <v>495550</v>
      </c>
      <c r="E139">
        <v>495550</v>
      </c>
      <c r="F139" t="str">
        <f>HYPERLINK("http://imap3images.s3-website-us-east-1.amazonaws.com/495550/p/photourl1_2016_09_20_steyoung_ohualw19.jpg", "View")</f>
        <v>View</v>
      </c>
      <c r="G139" t="s">
        <v>383</v>
      </c>
      <c r="H139" t="s">
        <v>125</v>
      </c>
      <c r="I139" t="s">
        <v>126</v>
      </c>
      <c r="J139" t="s">
        <v>168</v>
      </c>
      <c r="K139" t="str">
        <f>HYPERLINK("https://www.inaturalist.org/taxa/59773-Lonicera-morrowii", "View")</f>
        <v>View</v>
      </c>
      <c r="L139" t="s">
        <v>30</v>
      </c>
      <c r="M139" t="s">
        <v>31</v>
      </c>
      <c r="N139" t="s">
        <v>32</v>
      </c>
      <c r="O139" t="s">
        <v>154</v>
      </c>
      <c r="P139">
        <v>36.61</v>
      </c>
      <c r="Q139">
        <v>37.35</v>
      </c>
      <c r="S139">
        <v>1</v>
      </c>
      <c r="U139" t="s">
        <v>395</v>
      </c>
      <c r="V139" t="s">
        <v>396</v>
      </c>
    </row>
    <row r="140" spans="1:22" x14ac:dyDescent="0.3">
      <c r="A140">
        <v>138</v>
      </c>
      <c r="B140" t="str">
        <f>HYPERLINK("https://imapinvasives.natureserve.org/imap/services/page/Presence/495546.html", "View")</f>
        <v>View</v>
      </c>
      <c r="C140" t="s">
        <v>384</v>
      </c>
      <c r="D140">
        <v>495546</v>
      </c>
      <c r="E140">
        <v>495546</v>
      </c>
      <c r="F140" t="str">
        <f>HYPERLINK("http://imap3images.s3-website-us-east-1.amazonaws.com/495546/p/photourl1_2016_09_20_steyoung_osrdcndy.jpg", "View")</f>
        <v>View</v>
      </c>
      <c r="G140" t="s">
        <v>385</v>
      </c>
      <c r="H140" t="s">
        <v>22</v>
      </c>
      <c r="I140" t="s">
        <v>23</v>
      </c>
      <c r="J140" t="s">
        <v>152</v>
      </c>
      <c r="K140" t="str">
        <f>HYPERLINK("https://www.inaturalist.org/taxa/82342-Lonicera-maackii", "View")</f>
        <v>View</v>
      </c>
      <c r="L140" t="s">
        <v>24</v>
      </c>
      <c r="M140" t="s">
        <v>22</v>
      </c>
      <c r="N140" t="s">
        <v>25</v>
      </c>
      <c r="O140" t="s">
        <v>152</v>
      </c>
      <c r="P140">
        <v>33.619999999999997</v>
      </c>
      <c r="Q140">
        <v>81.22</v>
      </c>
      <c r="S140">
        <v>1</v>
      </c>
      <c r="U140" t="s">
        <v>395</v>
      </c>
      <c r="V140" t="s">
        <v>396</v>
      </c>
    </row>
    <row r="141" spans="1:22" x14ac:dyDescent="0.3">
      <c r="A141">
        <v>139</v>
      </c>
      <c r="B141" t="str">
        <f>HYPERLINK("https://imapinvasives.natureserve.org/imap/services/page/Presence/494760.html", "View")</f>
        <v>View</v>
      </c>
      <c r="C141" t="s">
        <v>386</v>
      </c>
      <c r="D141">
        <v>494760</v>
      </c>
      <c r="E141">
        <v>494760</v>
      </c>
      <c r="F141" t="str">
        <f>HYPERLINK("http://imap3images.s3-website-us-east-1.amazonaws.com/494760/p/photourl1_2016_08_29_tylchristensen_e82rls6x.jpg", "View")</f>
        <v>View</v>
      </c>
      <c r="G141" t="s">
        <v>387</v>
      </c>
      <c r="H141" t="s">
        <v>125</v>
      </c>
      <c r="I141" t="s">
        <v>126</v>
      </c>
      <c r="J141" t="s">
        <v>168</v>
      </c>
      <c r="K141" t="str">
        <f>HYPERLINK("https://www.inaturalist.org/taxa/59773-Lonicera-morrowii", "View")</f>
        <v>View</v>
      </c>
      <c r="L141" t="s">
        <v>30</v>
      </c>
      <c r="M141" t="s">
        <v>31</v>
      </c>
      <c r="N141" t="s">
        <v>32</v>
      </c>
      <c r="O141" t="s">
        <v>154</v>
      </c>
      <c r="P141">
        <v>15.19</v>
      </c>
      <c r="Q141">
        <v>29.97</v>
      </c>
      <c r="S141">
        <v>1</v>
      </c>
      <c r="U141" t="s">
        <v>395</v>
      </c>
      <c r="V141" t="s">
        <v>402</v>
      </c>
    </row>
    <row r="142" spans="1:22" x14ac:dyDescent="0.3">
      <c r="A142">
        <v>140</v>
      </c>
      <c r="B142" t="str">
        <f>HYPERLINK("https://imapinvasives.natureserve.org/imap/services/page/Presence/491603.html", "View")</f>
        <v>View</v>
      </c>
      <c r="C142" t="s">
        <v>388</v>
      </c>
      <c r="D142">
        <v>491603</v>
      </c>
      <c r="E142">
        <v>491603</v>
      </c>
      <c r="F142" t="str">
        <f>HYPERLINK("http://imap3images.s3-website-us-east-1.amazonaws.com/491603/p/photourl1_2016_06_10_iansansone_wh8ity92.jpg", "View")</f>
        <v>View</v>
      </c>
      <c r="G142" t="s">
        <v>389</v>
      </c>
      <c r="H142" t="s">
        <v>50</v>
      </c>
      <c r="I142" t="s">
        <v>114</v>
      </c>
      <c r="J142" t="s">
        <v>153</v>
      </c>
      <c r="K142" t="str">
        <f>HYPERLINK("https://www.inaturalist.org/taxa/77836-Lonicera-tatarica", "View")</f>
        <v>View</v>
      </c>
      <c r="L142" t="s">
        <v>49</v>
      </c>
      <c r="M142" t="s">
        <v>50</v>
      </c>
      <c r="N142" t="s">
        <v>51</v>
      </c>
      <c r="O142" t="s">
        <v>153</v>
      </c>
      <c r="P142">
        <v>9.33</v>
      </c>
      <c r="Q142">
        <v>2.14</v>
      </c>
      <c r="S142">
        <v>1</v>
      </c>
      <c r="U142" t="s">
        <v>395</v>
      </c>
      <c r="V142" t="s">
        <v>396</v>
      </c>
    </row>
    <row r="143" spans="1:22" x14ac:dyDescent="0.3">
      <c r="A143">
        <v>141</v>
      </c>
      <c r="B143" t="str">
        <f>HYPERLINK("https://imapinvasives.natureserve.org/imap/services/page/Presence/491502.html", "View")</f>
        <v>View</v>
      </c>
      <c r="C143" t="s">
        <v>390</v>
      </c>
      <c r="D143">
        <v>491502</v>
      </c>
      <c r="E143">
        <v>491502</v>
      </c>
      <c r="F143" t="str">
        <f>HYPERLINK("http://imap3images.s3-website-us-east-1.amazonaws.com/491502/p/photourl1_2016_06_08_emidyett_3c5uzr1e.jpg", "View")</f>
        <v>View</v>
      </c>
      <c r="G143" t="s">
        <v>391</v>
      </c>
      <c r="H143" t="s">
        <v>50</v>
      </c>
      <c r="I143" t="s">
        <v>114</v>
      </c>
      <c r="J143" t="s">
        <v>153</v>
      </c>
      <c r="K143" t="str">
        <f>HYPERLINK("https://www.inaturalist.org/taxa/77836-Lonicera-tatarica", "View")</f>
        <v>View</v>
      </c>
      <c r="L143" t="s">
        <v>49</v>
      </c>
      <c r="M143" t="s">
        <v>50</v>
      </c>
      <c r="N143" t="s">
        <v>51</v>
      </c>
      <c r="O143" t="s">
        <v>153</v>
      </c>
      <c r="P143">
        <v>9.33</v>
      </c>
      <c r="Q143">
        <v>38.9</v>
      </c>
      <c r="S143">
        <v>1</v>
      </c>
      <c r="U143" t="s">
        <v>395</v>
      </c>
      <c r="V143" t="s">
        <v>396</v>
      </c>
    </row>
  </sheetData>
  <dataValidations count="2">
    <dataValidation type="list" allowBlank="1" showInputMessage="1" showErrorMessage="1" sqref="U1:U1048576" xr:uid="{B103D770-D260-4924-8983-B0BBB0F81F44}">
      <formula1>"iMap is only correct, iNat is only correct, Both iMap and iNat correct, Both iMap and iNat incorrect, Undeterminable"</formula1>
    </dataValidation>
    <dataValidation type="list" allowBlank="1" showInputMessage="1" showErrorMessage="1" sqref="V1:V1048576" xr:uid="{0BB341AF-9C21-4E44-B924-117B1B970FF3}">
      <formula1>"Good photo, Bad-Photo taken from long distance, Bad-Multiple focused species, Bad-limited contrast, Bad-Blur Photo, Bad-Dried Stems, Bad-Focused Different Species"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Taposh Mollick</cp:lastModifiedBy>
  <dcterms:created xsi:type="dcterms:W3CDTF">2025-06-30T03:28:59Z</dcterms:created>
  <dcterms:modified xsi:type="dcterms:W3CDTF">2025-06-30T22:11:32Z</dcterms:modified>
</cp:coreProperties>
</file>